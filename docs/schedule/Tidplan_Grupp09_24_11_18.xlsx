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/>
  <mc:AlternateContent xmlns:mc="http://schemas.openxmlformats.org/markup-compatibility/2006">
    <mc:Choice Requires="x15">
      <x15ac:absPath xmlns:x15ac="http://schemas.microsoft.com/office/spreadsheetml/2010/11/ac" url="\\filur03.it.liu.se\students\rikag489\Downloads\"/>
    </mc:Choice>
  </mc:AlternateContent>
  <xr:revisionPtr revIDLastSave="0" documentId="8_{B93CFD91-870E-4601-8787-EAD863AA4D58}" xr6:coauthVersionLast="47" xr6:coauthVersionMax="47" xr10:uidLastSave="{00000000-0000-0000-0000-000000000000}"/>
  <bookViews>
    <workbookView xWindow="-120" yWindow="-120" windowWidth="29040" windowHeight="17520" firstSheet="1" activeTab="1" xr2:uid="{00000000-000D-0000-FFFF-FFFF00000000}"/>
  </bookViews>
  <sheets>
    <sheet name="Basplan" sheetId="1" r:id="rId1"/>
    <sheet name="Summering TI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2" l="1"/>
  <c r="AD9" i="2"/>
  <c r="AD8" i="2"/>
  <c r="AD7" i="2"/>
  <c r="AD6" i="2"/>
  <c r="AD5" i="2"/>
  <c r="AD4" i="2"/>
  <c r="U30" i="2"/>
  <c r="T30" i="2"/>
  <c r="S30" i="2"/>
  <c r="R30" i="2"/>
  <c r="Q30" i="2"/>
  <c r="P30" i="2"/>
  <c r="O30" i="2"/>
  <c r="L30" i="2"/>
  <c r="K30" i="2"/>
  <c r="S52" i="1"/>
  <c r="S51" i="1" s="1"/>
  <c r="S50" i="1"/>
  <c r="S49" i="1"/>
  <c r="S48" i="1"/>
  <c r="S47" i="1"/>
  <c r="S46" i="1"/>
  <c r="S44" i="1"/>
  <c r="S43" i="1"/>
  <c r="S42" i="1"/>
  <c r="S41" i="1"/>
  <c r="S40" i="1"/>
  <c r="S39" i="1"/>
  <c r="S38" i="1" s="1"/>
  <c r="S37" i="1"/>
  <c r="S36" i="1"/>
  <c r="S35" i="1" s="1"/>
  <c r="S34" i="1"/>
  <c r="S33" i="1"/>
  <c r="S32" i="1" s="1"/>
  <c r="S31" i="1"/>
  <c r="S30" i="1"/>
  <c r="S29" i="1"/>
  <c r="S28" i="1" s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 s="1"/>
  <c r="S12" i="1"/>
  <c r="S11" i="1"/>
  <c r="S10" i="1"/>
  <c r="S9" i="1"/>
  <c r="S8" i="1" s="1"/>
  <c r="Q71" i="1"/>
  <c r="P71" i="1"/>
  <c r="O71" i="1"/>
  <c r="N71" i="1"/>
  <c r="M71" i="1"/>
  <c r="L71" i="1"/>
  <c r="S71" i="1" l="1"/>
  <c r="AD30" i="2"/>
  <c r="S19" i="1"/>
  <c r="S45" i="1"/>
</calcChain>
</file>

<file path=xl/sharedStrings.xml><?xml version="1.0" encoding="utf-8"?>
<sst xmlns="http://schemas.openxmlformats.org/spreadsheetml/2006/main" count="357" uniqueCount="157">
  <si>
    <t>PLANERING</t>
  </si>
  <si>
    <t>Projekt: Tävlingsbil</t>
  </si>
  <si>
    <t>Projektgrupp:</t>
  </si>
  <si>
    <t>G09</t>
  </si>
  <si>
    <t>Datum:</t>
  </si>
  <si>
    <t>Granskad:</t>
  </si>
  <si>
    <t>Beställare:</t>
  </si>
  <si>
    <t>Mattias Krysander</t>
  </si>
  <si>
    <t>Version:</t>
  </si>
  <si>
    <t>1.5</t>
  </si>
  <si>
    <t>Samuel Tuvstedt</t>
  </si>
  <si>
    <t>Kurs:</t>
  </si>
  <si>
    <t>TSEA29</t>
  </si>
  <si>
    <t>Utfärdare:</t>
  </si>
  <si>
    <t>AKTIVITETER</t>
  </si>
  <si>
    <t>TID</t>
  </si>
  <si>
    <t>VEM</t>
  </si>
  <si>
    <t>TIDPLAN (när), veckonummer</t>
  </si>
  <si>
    <t>Nr.</t>
  </si>
  <si>
    <t>Beskrivning</t>
  </si>
  <si>
    <t>timmar</t>
  </si>
  <si>
    <t>Initialer</t>
  </si>
  <si>
    <t>Tot.</t>
  </si>
  <si>
    <t>System i helhet</t>
  </si>
  <si>
    <t>T</t>
  </si>
  <si>
    <t>P</t>
  </si>
  <si>
    <t>Testa att bilen kan rulla fram</t>
  </si>
  <si>
    <t>RÅ, GS</t>
  </si>
  <si>
    <t>E</t>
  </si>
  <si>
    <t>R</t>
  </si>
  <si>
    <t>Bygg mjukvara för komm. mellan moduler</t>
  </si>
  <si>
    <t>GS, KU</t>
  </si>
  <si>
    <t>N</t>
  </si>
  <si>
    <t>Bygg mjukvara för komm. mellan laptop och komm. modul</t>
  </si>
  <si>
    <t>S</t>
  </si>
  <si>
    <t>Wi-Fi-kommunikation med extern dator</t>
  </si>
  <si>
    <t>KU, ST</t>
  </si>
  <si>
    <t>A</t>
  </si>
  <si>
    <t>Bilens konstruktion</t>
  </si>
  <si>
    <t>-</t>
  </si>
  <si>
    <t>Koppla ihop moduler och montera dem</t>
  </si>
  <si>
    <t>AS, ST</t>
  </si>
  <si>
    <t>Koppla styrmodul till motor och styrservo</t>
  </si>
  <si>
    <t>Koppla sensormodul till odometer</t>
  </si>
  <si>
    <t>Koppla in komm. modul</t>
  </si>
  <si>
    <t>I</t>
  </si>
  <si>
    <t>Montera och programmera LCD-display</t>
  </si>
  <si>
    <t>O</t>
  </si>
  <si>
    <t>Kommunikationsmodul</t>
  </si>
  <si>
    <t>Bygg mjukvara till komm. modul för inkommande info</t>
  </si>
  <si>
    <t>Bygg mjukvara för att testa manuell styrning</t>
  </si>
  <si>
    <t>RÅ, AN</t>
  </si>
  <si>
    <t>Bygg mjukvara för autonom körning</t>
  </si>
  <si>
    <t>Alla</t>
  </si>
  <si>
    <t>Bygg mjukvara för beräkn. av varvtal</t>
  </si>
  <si>
    <t>Bygg mjukvara för kalibreringsvarv</t>
  </si>
  <si>
    <t>Bygg mjukvara som räknar tid</t>
  </si>
  <si>
    <t>Bygg mjukvara som anpassar styralgoritm för kal. varv</t>
  </si>
  <si>
    <t>Bygg mjukvara som kartlägger bana</t>
  </si>
  <si>
    <t>LiDAR</t>
  </si>
  <si>
    <t>Bygg mjukvara för att tolka data från LiDAR</t>
  </si>
  <si>
    <t>AS, ST, KU</t>
  </si>
  <si>
    <r>
      <t xml:space="preserve">Bygg mjukvara för identifiering av port </t>
    </r>
    <r>
      <rPr>
        <b/>
        <sz val="10"/>
        <color rgb="FF000000"/>
        <rFont val="Arial"/>
        <charset val="1"/>
      </rPr>
      <t>framför</t>
    </r>
    <r>
      <rPr>
        <sz val="10"/>
        <color rgb="FF000000"/>
        <rFont val="Arial"/>
        <charset val="1"/>
      </rPr>
      <t xml:space="preserve"> bilen</t>
    </r>
  </si>
  <si>
    <t>Bygg mjukvara för identifiering av port vid sidan om bilen</t>
  </si>
  <si>
    <t>Sensormodul</t>
  </si>
  <si>
    <t>Bygg mjukvara för tolkning av sensordata</t>
  </si>
  <si>
    <t>Implementera eventuella andra sensorer</t>
  </si>
  <si>
    <t>Styrmodul</t>
  </si>
  <si>
    <t>Bygg mjukvara för att generera styrutslag</t>
  </si>
  <si>
    <t>RÅ, KU</t>
  </si>
  <si>
    <t>Bygg mjukvara för att anpassa hastigheten</t>
  </si>
  <si>
    <t>Användargränssnitt</t>
  </si>
  <si>
    <t>Bygg logik för gränssnitt</t>
  </si>
  <si>
    <t>AN, KU</t>
  </si>
  <si>
    <t>Bygg visuell del av gränssnitt</t>
  </si>
  <si>
    <t>AN, RÅ</t>
  </si>
  <si>
    <t>Lägg till config så att hastighet kan anges</t>
  </si>
  <si>
    <t>AN, GS</t>
  </si>
  <si>
    <t>Lägg till config för styralgoritm</t>
  </si>
  <si>
    <t>Implementera lokal karta</t>
  </si>
  <si>
    <t>Implementera global karta</t>
  </si>
  <si>
    <t>Dokumentation</t>
  </si>
  <si>
    <r>
      <t>Skriv Status</t>
    </r>
    <r>
      <rPr>
        <i/>
        <sz val="10"/>
        <color rgb="FF000000"/>
        <rFont val="Arial"/>
        <charset val="1"/>
      </rPr>
      <t>rapporter</t>
    </r>
  </si>
  <si>
    <r>
      <t xml:space="preserve">Skriv </t>
    </r>
    <r>
      <rPr>
        <b/>
        <i/>
        <sz val="10"/>
        <color rgb="FF000000"/>
        <rFont val="Arial"/>
        <charset val="1"/>
      </rPr>
      <t>Designspecifikation</t>
    </r>
  </si>
  <si>
    <r>
      <t xml:space="preserve">Skriv </t>
    </r>
    <r>
      <rPr>
        <b/>
        <i/>
        <sz val="10"/>
        <color rgb="FF000000"/>
        <rFont val="Arial"/>
        <charset val="1"/>
      </rPr>
      <t>Användarhandledning</t>
    </r>
  </si>
  <si>
    <r>
      <t xml:space="preserve">Skriv </t>
    </r>
    <r>
      <rPr>
        <i/>
        <sz val="10"/>
        <color rgb="FF000000"/>
        <rFont val="Arial"/>
        <charset val="1"/>
      </rPr>
      <t>Teknisk dokumentation</t>
    </r>
  </si>
  <si>
    <t>Projektmöten</t>
  </si>
  <si>
    <t>Buffertid</t>
  </si>
  <si>
    <t>Beslutspunkter</t>
  </si>
  <si>
    <t>BP1</t>
  </si>
  <si>
    <t>Kravspecifikation framarbetad och godkänd</t>
  </si>
  <si>
    <t>BP2</t>
  </si>
  <si>
    <t>Systemskiss, projektplan, tidsplan och formellt beslutsmöte</t>
  </si>
  <si>
    <t>BP3</t>
  </si>
  <si>
    <t>Designspecifikation godkänd av gruppens handledare</t>
  </si>
  <si>
    <t>BP4</t>
  </si>
  <si>
    <t>Verifikation att produkt uppfyller slutkraven</t>
  </si>
  <si>
    <t>BP5</t>
  </si>
  <si>
    <t>Konstruktionsgranskning och seminarium för presentation</t>
  </si>
  <si>
    <t>BP6</t>
  </si>
  <si>
    <t>Beslut om godkännande av projekt</t>
  </si>
  <si>
    <t>BP7</t>
  </si>
  <si>
    <t>Efterstudie inlämnad till beställaren</t>
  </si>
  <si>
    <t>Milstolpar</t>
  </si>
  <si>
    <t>MS1</t>
  </si>
  <si>
    <t>Designspecifikation är klar</t>
  </si>
  <si>
    <t>To</t>
  </si>
  <si>
    <t>MS2</t>
  </si>
  <si>
    <t>Grundläggande kommunikation mellan moduler fungerar</t>
  </si>
  <si>
    <t>On</t>
  </si>
  <si>
    <t>MS3</t>
  </si>
  <si>
    <t>Sensormodulen kan läsa av sensorer</t>
  </si>
  <si>
    <t>MS4</t>
  </si>
  <si>
    <t>Styrmodulen kan läsa av bilens rörelser</t>
  </si>
  <si>
    <t>Fr</t>
  </si>
  <si>
    <t>MS5</t>
  </si>
  <si>
    <t>Sensormodulen är klar</t>
  </si>
  <si>
    <t>MS6</t>
  </si>
  <si>
    <t>Styrmodulen är klar</t>
  </si>
  <si>
    <t>MS7</t>
  </si>
  <si>
    <t>Bilen kan köra manuellt</t>
  </si>
  <si>
    <t>MS8</t>
  </si>
  <si>
    <t>Bilen kan köra autonomt</t>
  </si>
  <si>
    <t>Ti</t>
  </si>
  <si>
    <t>Bilens styralgoritm är klar</t>
  </si>
  <si>
    <t>Summa antal timmar:</t>
  </si>
  <si>
    <t>Uppdaterad mån 46</t>
  </si>
  <si>
    <t>RESURS</t>
  </si>
  <si>
    <t>NEDLAGD TID (per vecka)</t>
  </si>
  <si>
    <t>Namn</t>
  </si>
  <si>
    <t>#REF!</t>
  </si>
  <si>
    <t>#REF!2</t>
  </si>
  <si>
    <t>#REF!3</t>
  </si>
  <si>
    <t>#REF!4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</si>
  <si>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</si>
  <si>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</si>
  <si>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</si>
  <si>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</si>
  <si>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</si>
  <si>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</si>
  <si>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</si>
  <si>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</si>
  <si>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</si>
  <si>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</si>
  <si>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</si>
  <si>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#REF!5</t>
  </si>
  <si>
    <t>#REF!6</t>
  </si>
  <si>
    <t>#REF!7</t>
  </si>
  <si>
    <t>#REF!8</t>
  </si>
  <si>
    <t>#REF!9</t>
  </si>
  <si>
    <t>#REF!10</t>
  </si>
  <si>
    <t>Sa</t>
  </si>
  <si>
    <t>Alfred Sjöqvist</t>
  </si>
  <si>
    <t>Axel Nyström</t>
  </si>
  <si>
    <t>Rikard Ågren</t>
  </si>
  <si>
    <t>Gustaf Sjögemark</t>
  </si>
  <si>
    <t>Kacper Uminski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</si>
</sst>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000000"/>
      <name val="Arial"/>
      <charset val="1"/>
    </font>
    <font>
      <sz val="7"/>
      <color theme="1"/>
      <name val="Arial"/>
      <charset val="1"/>
    </font>
    <font>
      <b/>
      <sz val="12"/>
      <color theme="1"/>
      <name val="Arial"/>
      <charset val="1"/>
    </font>
    <font>
      <sz val="12"/>
      <color theme="1"/>
      <name val="Arial"/>
      <charset val="1"/>
    </font>
    <font>
      <sz val="8"/>
      <color theme="1"/>
      <name val="Arial"/>
      <charset val="1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ck">
        <color rgb="FF000000"/>
      </bottom>
      <diagonal/>
    </border>
    <border>
      <left/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/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0C0C0"/>
      </bottom>
      <diagonal/>
    </border>
    <border>
      <left/>
      <right/>
      <top style="thin">
        <color rgb="FFCCCCCC"/>
      </top>
      <bottom style="thin">
        <color rgb="FFC0C0C0"/>
      </bottom>
      <diagonal/>
    </border>
    <border>
      <left/>
      <right style="thin">
        <color rgb="FFCCCCCC"/>
      </right>
      <top style="thin">
        <color rgb="FFCCCCCC"/>
      </top>
      <bottom style="thin">
        <color rgb="FFC0C0C0"/>
      </bottom>
      <diagonal/>
    </border>
    <border>
      <left/>
      <right style="thin">
        <color rgb="FF000000"/>
      </right>
      <top style="thin">
        <color rgb="FFCCCCCC"/>
      </top>
      <bottom style="thin">
        <color rgb="FFC0C0C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/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3" fillId="2" borderId="6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4" fillId="3" borderId="14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4" fillId="3" borderId="6" xfId="0" applyFont="1" applyFill="1" applyBorder="1" applyAlignment="1">
      <alignment readingOrder="1"/>
    </xf>
    <xf numFmtId="0" fontId="3" fillId="4" borderId="22" xfId="0" applyFont="1" applyFill="1" applyBorder="1" applyAlignment="1">
      <alignment readingOrder="1"/>
    </xf>
    <xf numFmtId="0" fontId="5" fillId="4" borderId="22" xfId="0" applyFont="1" applyFill="1" applyBorder="1" applyAlignment="1">
      <alignment readingOrder="1"/>
    </xf>
    <xf numFmtId="0" fontId="3" fillId="5" borderId="24" xfId="0" applyFont="1" applyFill="1" applyBorder="1" applyAlignment="1">
      <alignment readingOrder="1"/>
    </xf>
    <xf numFmtId="0" fontId="3" fillId="5" borderId="22" xfId="0" applyFont="1" applyFill="1" applyBorder="1" applyAlignment="1">
      <alignment readingOrder="1"/>
    </xf>
    <xf numFmtId="0" fontId="3" fillId="5" borderId="7" xfId="0" applyFont="1" applyFill="1" applyBorder="1" applyAlignment="1">
      <alignment readingOrder="1"/>
    </xf>
    <xf numFmtId="0" fontId="3" fillId="6" borderId="24" xfId="0" applyFont="1" applyFill="1" applyBorder="1" applyAlignment="1">
      <alignment readingOrder="1"/>
    </xf>
    <xf numFmtId="0" fontId="3" fillId="0" borderId="25" xfId="0" applyFont="1" applyBorder="1" applyAlignment="1">
      <alignment readingOrder="1"/>
    </xf>
    <xf numFmtId="0" fontId="4" fillId="7" borderId="22" xfId="0" applyFont="1" applyFill="1" applyBorder="1" applyAlignment="1">
      <alignment readingOrder="1"/>
    </xf>
    <xf numFmtId="0" fontId="3" fillId="6" borderId="7" xfId="0" applyFont="1" applyFill="1" applyBorder="1" applyAlignment="1">
      <alignment readingOrder="1"/>
    </xf>
    <xf numFmtId="0" fontId="3" fillId="6" borderId="22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25" xfId="0" applyFont="1" applyFill="1" applyBorder="1" applyAlignment="1">
      <alignment readingOrder="1"/>
    </xf>
    <xf numFmtId="0" fontId="3" fillId="9" borderId="25" xfId="0" applyFont="1" applyFill="1" applyBorder="1" applyAlignment="1">
      <alignment readingOrder="1"/>
    </xf>
    <xf numFmtId="0" fontId="3" fillId="10" borderId="7" xfId="0" applyFont="1" applyFill="1" applyBorder="1" applyAlignment="1">
      <alignment readingOrder="1"/>
    </xf>
    <xf numFmtId="0" fontId="3" fillId="3" borderId="27" xfId="0" applyFont="1" applyFill="1" applyBorder="1" applyAlignment="1">
      <alignment readingOrder="1"/>
    </xf>
    <xf numFmtId="0" fontId="3" fillId="0" borderId="26" xfId="0" applyFont="1" applyBorder="1" applyAlignment="1">
      <alignment readingOrder="1"/>
    </xf>
    <xf numFmtId="0" fontId="3" fillId="11" borderId="26" xfId="0" applyFont="1" applyFill="1" applyBorder="1" applyAlignment="1">
      <alignment readingOrder="1"/>
    </xf>
    <xf numFmtId="0" fontId="3" fillId="12" borderId="25" xfId="0" applyFont="1" applyFill="1" applyBorder="1" applyAlignment="1">
      <alignment readingOrder="1"/>
    </xf>
    <xf numFmtId="0" fontId="3" fillId="3" borderId="31" xfId="0" applyFont="1" applyFill="1" applyBorder="1" applyAlignment="1">
      <alignment readingOrder="1"/>
    </xf>
    <xf numFmtId="0" fontId="3" fillId="0" borderId="32" xfId="0" applyFont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0" borderId="22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11" borderId="7" xfId="0" applyFont="1" applyFill="1" applyBorder="1" applyAlignment="1">
      <alignment readingOrder="1"/>
    </xf>
    <xf numFmtId="0" fontId="3" fillId="12" borderId="22" xfId="0" applyFont="1" applyFill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8" borderId="26" xfId="0" quotePrefix="1" applyFont="1" applyFill="1" applyBorder="1" applyAlignment="1">
      <alignment readingOrder="1"/>
    </xf>
    <xf numFmtId="0" fontId="3" fillId="8" borderId="25" xfId="0" quotePrefix="1" applyFont="1" applyFill="1" applyBorder="1" applyAlignment="1">
      <alignment readingOrder="1"/>
    </xf>
    <xf numFmtId="0" fontId="3" fillId="6" borderId="26" xfId="0" applyFont="1" applyFill="1" applyBorder="1" applyAlignment="1">
      <alignment readingOrder="1"/>
    </xf>
    <xf numFmtId="0" fontId="3" fillId="7" borderId="25" xfId="0" applyFont="1" applyFill="1" applyBorder="1" applyAlignment="1">
      <alignment readingOrder="1"/>
    </xf>
    <xf numFmtId="0" fontId="3" fillId="13" borderId="26" xfId="0" applyFont="1" applyFill="1" applyBorder="1" applyAlignment="1">
      <alignment readingOrder="1"/>
    </xf>
    <xf numFmtId="0" fontId="3" fillId="11" borderId="25" xfId="0" applyFont="1" applyFill="1" applyBorder="1" applyAlignment="1">
      <alignment readingOrder="1"/>
    </xf>
    <xf numFmtId="0" fontId="3" fillId="13" borderId="7" xfId="0" applyFont="1" applyFill="1" applyBorder="1" applyAlignment="1">
      <alignment readingOrder="1"/>
    </xf>
    <xf numFmtId="0" fontId="3" fillId="13" borderId="31" xfId="0" applyFont="1" applyFill="1" applyBorder="1" applyAlignment="1">
      <alignment readingOrder="1"/>
    </xf>
    <xf numFmtId="0" fontId="3" fillId="11" borderId="31" xfId="0" applyFont="1" applyFill="1" applyBorder="1" applyAlignment="1">
      <alignment readingOrder="1"/>
    </xf>
    <xf numFmtId="0" fontId="3" fillId="11" borderId="22" xfId="0" applyFont="1" applyFill="1" applyBorder="1" applyAlignment="1">
      <alignment readingOrder="1"/>
    </xf>
    <xf numFmtId="0" fontId="3" fillId="14" borderId="25" xfId="0" applyFont="1" applyFill="1" applyBorder="1" applyAlignment="1">
      <alignment readingOrder="1"/>
    </xf>
    <xf numFmtId="0" fontId="3" fillId="14" borderId="26" xfId="0" applyFont="1" applyFill="1" applyBorder="1" applyAlignment="1">
      <alignment readingOrder="1"/>
    </xf>
    <xf numFmtId="0" fontId="3" fillId="15" borderId="25" xfId="0" applyFont="1" applyFill="1" applyBorder="1" applyAlignment="1">
      <alignment readingOrder="1"/>
    </xf>
    <xf numFmtId="0" fontId="3" fillId="15" borderId="26" xfId="0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8" borderId="22" xfId="0" applyFont="1" applyFill="1" applyBorder="1" applyAlignment="1">
      <alignment readingOrder="1"/>
    </xf>
    <xf numFmtId="0" fontId="3" fillId="15" borderId="22" xfId="0" applyFont="1" applyFill="1" applyBorder="1" applyAlignment="1">
      <alignment readingOrder="1"/>
    </xf>
    <xf numFmtId="0" fontId="3" fillId="9" borderId="22" xfId="0" applyFont="1" applyFill="1" applyBorder="1" applyAlignment="1">
      <alignment readingOrder="1"/>
    </xf>
    <xf numFmtId="0" fontId="3" fillId="3" borderId="25" xfId="0" applyFont="1" applyFill="1" applyBorder="1" applyAlignment="1">
      <alignment readingOrder="1"/>
    </xf>
    <xf numFmtId="0" fontId="3" fillId="3" borderId="22" xfId="0" applyFont="1" applyFill="1" applyBorder="1" applyAlignment="1">
      <alignment readingOrder="1"/>
    </xf>
    <xf numFmtId="0" fontId="10" fillId="3" borderId="7" xfId="0" applyFont="1" applyFill="1" applyBorder="1" applyAlignment="1">
      <alignment readingOrder="1"/>
    </xf>
    <xf numFmtId="0" fontId="10" fillId="3" borderId="22" xfId="0" applyFont="1" applyFill="1" applyBorder="1" applyAlignment="1">
      <alignment readingOrder="1"/>
    </xf>
    <xf numFmtId="0" fontId="4" fillId="10" borderId="7" xfId="0" applyFont="1" applyFill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31" xfId="0" applyFont="1" applyBorder="1" applyAlignment="1">
      <alignment readingOrder="1"/>
    </xf>
    <xf numFmtId="0" fontId="3" fillId="0" borderId="34" xfId="0" applyFont="1" applyBorder="1" applyAlignment="1">
      <alignment readingOrder="1"/>
    </xf>
    <xf numFmtId="0" fontId="3" fillId="3" borderId="37" xfId="0" applyFont="1" applyFill="1" applyBorder="1" applyAlignment="1">
      <alignment readingOrder="1"/>
    </xf>
    <xf numFmtId="0" fontId="13" fillId="3" borderId="31" xfId="0" applyFont="1" applyFill="1" applyBorder="1" applyAlignment="1">
      <alignment readingOrder="1"/>
    </xf>
    <xf numFmtId="0" fontId="13" fillId="3" borderId="7" xfId="0" applyFont="1" applyFill="1" applyBorder="1" applyAlignment="1">
      <alignment readingOrder="1"/>
    </xf>
    <xf numFmtId="0" fontId="13" fillId="3" borderId="6" xfId="0" applyFont="1" applyFill="1" applyBorder="1" applyAlignment="1">
      <alignment readingOrder="1"/>
    </xf>
    <xf numFmtId="0" fontId="13" fillId="3" borderId="22" xfId="0" applyFont="1" applyFill="1" applyBorder="1" applyAlignment="1">
      <alignment readingOrder="1"/>
    </xf>
    <xf numFmtId="0" fontId="3" fillId="16" borderId="26" xfId="0" applyFont="1" applyFill="1" applyBorder="1" applyAlignment="1">
      <alignment readingOrder="1"/>
    </xf>
    <xf numFmtId="0" fontId="3" fillId="18" borderId="26" xfId="0" applyFont="1" applyFill="1" applyBorder="1" applyAlignment="1">
      <alignment readingOrder="1"/>
    </xf>
    <xf numFmtId="0" fontId="3" fillId="18" borderId="7" xfId="0" applyFont="1" applyFill="1" applyBorder="1" applyAlignment="1">
      <alignment readingOrder="1"/>
    </xf>
    <xf numFmtId="0" fontId="3" fillId="17" borderId="24" xfId="0" applyFont="1" applyFill="1" applyBorder="1" applyAlignment="1">
      <alignment readingOrder="1"/>
    </xf>
    <xf numFmtId="0" fontId="3" fillId="16" borderId="22" xfId="0" applyFont="1" applyFill="1" applyBorder="1" applyAlignment="1">
      <alignment readingOrder="1"/>
    </xf>
    <xf numFmtId="0" fontId="3" fillId="17" borderId="7" xfId="0" applyFont="1" applyFill="1" applyBorder="1" applyAlignment="1">
      <alignment readingOrder="1"/>
    </xf>
    <xf numFmtId="0" fontId="3" fillId="17" borderId="22" xfId="0" applyFont="1" applyFill="1" applyBorder="1" applyAlignment="1">
      <alignment readingOrder="1"/>
    </xf>
    <xf numFmtId="0" fontId="3" fillId="18" borderId="25" xfId="0" applyFont="1" applyFill="1" applyBorder="1" applyAlignment="1">
      <alignment readingOrder="1"/>
    </xf>
    <xf numFmtId="0" fontId="0" fillId="19" borderId="0" xfId="0" applyFill="1"/>
    <xf numFmtId="0" fontId="14" fillId="7" borderId="8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2" xfId="0" applyFont="1" applyFill="1" applyBorder="1" applyAlignment="1">
      <alignment readingOrder="1"/>
    </xf>
    <xf numFmtId="0" fontId="3" fillId="18" borderId="22" xfId="0" applyFont="1" applyFill="1" applyBorder="1" applyAlignment="1">
      <alignment readingOrder="1"/>
    </xf>
    <xf numFmtId="0" fontId="3" fillId="18" borderId="31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3" fillId="11" borderId="42" xfId="0" applyFont="1" applyFill="1" applyBorder="1" applyAlignment="1">
      <alignment readingOrder="1"/>
    </xf>
    <xf numFmtId="0" fontId="3" fillId="0" borderId="43" xfId="0" applyFont="1" applyBorder="1" applyAlignment="1">
      <alignment readingOrder="1"/>
    </xf>
    <xf numFmtId="0" fontId="3" fillId="0" borderId="44" xfId="0" applyFont="1" applyBorder="1" applyAlignment="1">
      <alignment readingOrder="1"/>
    </xf>
    <xf numFmtId="0" fontId="3" fillId="3" borderId="45" xfId="0" applyFont="1" applyFill="1" applyBorder="1" applyAlignment="1">
      <alignment readingOrder="1"/>
    </xf>
    <xf numFmtId="0" fontId="3" fillId="3" borderId="46" xfId="0" applyFont="1" applyFill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23" xfId="0" applyFont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3" borderId="23" xfId="0" applyFont="1" applyFill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3" fillId="0" borderId="30" xfId="0" applyFont="1" applyBorder="1" applyAlignment="1">
      <alignment readingOrder="1"/>
    </xf>
    <xf numFmtId="0" fontId="7" fillId="0" borderId="28" xfId="0" applyFont="1" applyBorder="1" applyAlignment="1">
      <alignment readingOrder="1"/>
    </xf>
    <xf numFmtId="0" fontId="7" fillId="0" borderId="29" xfId="0" applyFont="1" applyBorder="1" applyAlignment="1">
      <alignment readingOrder="1"/>
    </xf>
    <xf numFmtId="0" fontId="7" fillId="0" borderId="30" xfId="0" applyFont="1" applyBorder="1" applyAlignment="1">
      <alignment readingOrder="1"/>
    </xf>
    <xf numFmtId="0" fontId="4" fillId="7" borderId="8" xfId="0" applyFont="1" applyFill="1" applyBorder="1" applyAlignment="1">
      <alignment readingOrder="1"/>
    </xf>
    <xf numFmtId="0" fontId="4" fillId="7" borderId="9" xfId="0" applyFont="1" applyFill="1" applyBorder="1" applyAlignment="1">
      <alignment readingOrder="1"/>
    </xf>
    <xf numFmtId="0" fontId="4" fillId="7" borderId="10" xfId="0" applyFont="1" applyFill="1" applyBorder="1" applyAlignment="1">
      <alignment readingOrder="1"/>
    </xf>
    <xf numFmtId="0" fontId="6" fillId="0" borderId="28" xfId="0" applyFont="1" applyBorder="1" applyAlignment="1">
      <alignment readingOrder="1"/>
    </xf>
    <xf numFmtId="0" fontId="6" fillId="0" borderId="29" xfId="0" applyFont="1" applyBorder="1" applyAlignment="1">
      <alignment readingOrder="1"/>
    </xf>
    <xf numFmtId="0" fontId="6" fillId="0" borderId="3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4" fillId="7" borderId="23" xfId="0" applyFont="1" applyFill="1" applyBorder="1" applyAlignment="1">
      <alignment readingOrder="1"/>
    </xf>
    <xf numFmtId="0" fontId="3" fillId="0" borderId="33" xfId="0" applyFont="1" applyBorder="1" applyAlignment="1">
      <alignment readingOrder="1"/>
    </xf>
    <xf numFmtId="0" fontId="6" fillId="0" borderId="8" xfId="0" applyFont="1" applyBorder="1" applyAlignment="1">
      <alignment readingOrder="1"/>
    </xf>
    <xf numFmtId="0" fontId="6" fillId="0" borderId="9" xfId="0" applyFont="1" applyBorder="1" applyAlignment="1">
      <alignment readingOrder="1"/>
    </xf>
    <xf numFmtId="0" fontId="6" fillId="0" borderId="23" xfId="0" applyFont="1" applyBorder="1" applyAlignment="1">
      <alignment readingOrder="1"/>
    </xf>
    <xf numFmtId="0" fontId="4" fillId="3" borderId="12" xfId="0" applyFont="1" applyFill="1" applyBorder="1" applyAlignment="1">
      <alignment readingOrder="1"/>
    </xf>
    <xf numFmtId="0" fontId="4" fillId="3" borderId="13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3" borderId="19" xfId="0" applyFont="1" applyFill="1" applyBorder="1" applyAlignment="1">
      <alignment readingOrder="1"/>
    </xf>
    <xf numFmtId="0" fontId="3" fillId="3" borderId="21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3" borderId="5" xfId="0" applyFont="1" applyFill="1" applyBorder="1" applyAlignment="1">
      <alignment readingOrder="1"/>
    </xf>
    <xf numFmtId="0" fontId="3" fillId="3" borderId="8" xfId="0" applyFont="1" applyFill="1" applyBorder="1" applyAlignment="1">
      <alignment wrapText="1" readingOrder="1"/>
    </xf>
    <xf numFmtId="0" fontId="3" fillId="3" borderId="10" xfId="0" applyFont="1" applyFill="1" applyBorder="1" applyAlignment="1">
      <alignment readingOrder="1"/>
    </xf>
    <xf numFmtId="0" fontId="5" fillId="4" borderId="4" xfId="0" applyFont="1" applyFill="1" applyBorder="1" applyAlignment="1">
      <alignment readingOrder="1"/>
    </xf>
    <xf numFmtId="0" fontId="5" fillId="4" borderId="9" xfId="0" applyFont="1" applyFill="1" applyBorder="1" applyAlignment="1">
      <alignment readingOrder="1"/>
    </xf>
    <xf numFmtId="0" fontId="5" fillId="4" borderId="5" xfId="0" applyFont="1" applyFill="1" applyBorder="1" applyAlignment="1">
      <alignment readingOrder="1"/>
    </xf>
    <xf numFmtId="0" fontId="5" fillId="4" borderId="8" xfId="0" applyFont="1" applyFill="1" applyBorder="1" applyAlignment="1">
      <alignment readingOrder="1"/>
    </xf>
    <xf numFmtId="0" fontId="5" fillId="4" borderId="10" xfId="0" applyFont="1" applyFill="1" applyBorder="1" applyAlignment="1">
      <alignment readingOrder="1"/>
    </xf>
    <xf numFmtId="0" fontId="3" fillId="5" borderId="8" xfId="0" applyFont="1" applyFill="1" applyBorder="1" applyAlignment="1">
      <alignment readingOrder="1"/>
    </xf>
    <xf numFmtId="0" fontId="3" fillId="5" borderId="9" xfId="0" applyFont="1" applyFill="1" applyBorder="1" applyAlignment="1">
      <alignment readingOrder="1"/>
    </xf>
    <xf numFmtId="0" fontId="3" fillId="5" borderId="23" xfId="0" applyFont="1" applyFill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3" fillId="2" borderId="8" xfId="0" applyFont="1" applyFill="1" applyBorder="1" applyAlignment="1">
      <alignment readingOrder="1"/>
    </xf>
    <xf numFmtId="0" fontId="3" fillId="2" borderId="9" xfId="0" applyFont="1" applyFill="1" applyBorder="1" applyAlignment="1">
      <alignment readingOrder="1"/>
    </xf>
    <xf numFmtId="0" fontId="3" fillId="2" borderId="10" xfId="0" applyFont="1" applyFill="1" applyBorder="1" applyAlignment="1">
      <alignment readingOrder="1"/>
    </xf>
    <xf numFmtId="14" fontId="3" fillId="3" borderId="15" xfId="0" applyNumberFormat="1" applyFont="1" applyFill="1" applyBorder="1" applyAlignment="1">
      <alignment readingOrder="1"/>
    </xf>
    <xf numFmtId="0" fontId="4" fillId="3" borderId="18" xfId="0" applyFont="1" applyFill="1" applyBorder="1" applyAlignment="1">
      <alignment readingOrder="1"/>
    </xf>
    <xf numFmtId="0" fontId="4" fillId="3" borderId="19" xfId="0" applyFont="1" applyFill="1" applyBorder="1" applyAlignment="1">
      <alignment readingOrder="1"/>
    </xf>
    <xf numFmtId="0" fontId="4" fillId="3" borderId="20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11" fillId="3" borderId="35" xfId="0" applyFont="1" applyFill="1" applyBorder="1" applyAlignment="1">
      <alignment readingOrder="1"/>
    </xf>
    <xf numFmtId="0" fontId="11" fillId="3" borderId="36" xfId="0" applyFont="1" applyFill="1" applyBorder="1" applyAlignment="1">
      <alignment readingOrder="1"/>
    </xf>
    <xf numFmtId="0" fontId="12" fillId="3" borderId="38" xfId="0" applyFont="1" applyFill="1" applyBorder="1" applyAlignment="1">
      <alignment readingOrder="1"/>
    </xf>
    <xf numFmtId="0" fontId="12" fillId="3" borderId="39" xfId="0" applyFont="1" applyFill="1" applyBorder="1" applyAlignment="1">
      <alignment readingOrder="1"/>
    </xf>
    <xf numFmtId="0" fontId="12" fillId="3" borderId="40" xfId="0" applyFont="1" applyFill="1" applyBorder="1" applyAlignment="1">
      <alignment readingOrder="1"/>
    </xf>
    <xf numFmtId="0" fontId="3" fillId="3" borderId="38" xfId="0" applyFont="1" applyFill="1" applyBorder="1" applyAlignment="1">
      <alignment readingOrder="1"/>
    </xf>
    <xf numFmtId="0" fontId="3" fillId="3" borderId="39" xfId="0" applyFont="1" applyFill="1" applyBorder="1" applyAlignment="1">
      <alignment readingOrder="1"/>
    </xf>
    <xf numFmtId="0" fontId="3" fillId="3" borderId="41" xfId="0" applyFont="1" applyFill="1" applyBorder="1" applyAlignment="1">
      <alignment readingOrder="1"/>
    </xf>
    <xf numFmtId="0" fontId="11" fillId="4" borderId="4" xfId="0" applyFont="1" applyFill="1" applyBorder="1" applyAlignment="1">
      <alignment readingOrder="1"/>
    </xf>
    <xf numFmtId="0" fontId="11" fillId="4" borderId="9" xfId="0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8" xfId="0" applyFont="1" applyFill="1" applyBorder="1" applyAlignment="1">
      <alignment readingOrder="1"/>
    </xf>
    <xf numFmtId="0" fontId="11" fillId="4" borderId="10" xfId="0" applyFont="1" applyFill="1" applyBorder="1" applyAlignment="1">
      <alignment readingOrder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ck">
          <color rgb="FF000000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C0C0C0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Medium9"/>
  <colors>
    <mruColors>
      <color rgb="FF9900FF"/>
      <color rgb="FFCCCC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8EF558-4920-43B2-A86E-71DA31BE70BF}" name="Table6" displayName="Table6" ref="G3:AA9" totalsRowShown="0" headerRowDxfId="25" dataDxfId="24" headerRowBorderDxfId="22" tableBorderDxfId="23" totalsRowBorderDxfId="21">
  <autoFilter ref="G3:AA9" xr:uid="{6E8EF558-4920-43B2-A86E-71DA31BE70BF}"/>
  <tableColumns count="21">
    <tableColumn id="1" xr3:uid="{0190B7E7-3378-413F-9F91-020710C625DF}" name="#REF!" dataDxfId="20"/>
    <tableColumn id="2" xr3:uid="{BBBC4B6D-9590-4B6E-A39F-FF703F57AB44}" name="#REF!2" dataDxfId="19"/>
    <tableColumn id="3" xr3:uid="{EB4B4CBB-6FF1-433C-93AD-6DA20B2CAD8D}" name="#REF!3" dataDxfId="18"/>
    <tableColumn id="4" xr3:uid="{052EE063-3122-41F0-A2E9-6930807C08EC}" name="#REF!4" dataDxfId="17"/>
    <tableColumn id="5" xr3:uid="{D03F27B0-4D35-4A02-807F-61D791552100}" name="41" dataDxfId="16"/>
    <tableColumn id="6" xr3:uid="{D28B5A22-696C-4702-937A-23D8C4B0F2F0}" name="42" dataDxfId="15"/>
    <tableColumn id="7" xr3:uid="{47711C88-4614-4E71-8B59-0AB6894D6E3E}" name="43" dataDxfId="14"/>
    <tableColumn id="8" xr3:uid="{8FEFE10D-1685-456E-8AA8-0DA7B686CBCF}" name="44" dataDxfId="13"/>
    <tableColumn id="9" xr3:uid="{FE6E93EA-76B5-439C-A4B5-5AEDA0D20865}" name="45" dataDxfId="12"/>
    <tableColumn id="10" xr3:uid="{25342970-2050-4AA8-AE2E-0CCC977FC21E}" name="46" dataDxfId="11"/>
    <tableColumn id="11" xr3:uid="{D3757E74-1172-4FA8-B85E-26B498EE6268}" name="47" dataDxfId="10"/>
    <tableColumn id="12" xr3:uid="{84912CF7-D9E3-498D-814D-5464C46A0F8E}" name="48" dataDxfId="9"/>
    <tableColumn id="13" xr3:uid="{3594F1D5-C6C9-4949-8420-54F3DA5E2DF0}" name="49" dataDxfId="8"/>
    <tableColumn id="14" xr3:uid="{B76A45D2-54F6-483E-979F-067CD70187B3}" name="50" dataDxfId="7"/>
    <tableColumn id="15" xr3:uid="{B0344BC1-4811-4D8E-A2DF-69E9B86F34FA}" name="51" dataDxfId="6"/>
    <tableColumn id="16" xr3:uid="{89F178C9-C6B0-4E28-AB0B-DBAB2985325B}" name="#REF!5" dataDxfId="5"/>
    <tableColumn id="17" xr3:uid="{D373A938-FEC6-4CA5-99C9-9849682D8301}" name="#REF!6" dataDxfId="4"/>
    <tableColumn id="18" xr3:uid="{14EEA7AC-9E81-4DCD-9BFB-8E741E3025FE}" name="#REF!7" dataDxfId="3"/>
    <tableColumn id="19" xr3:uid="{026459D7-5580-4D08-9C3E-CFC0A396616C}" name="#REF!8" dataDxfId="2"/>
    <tableColumn id="20" xr3:uid="{8FBE6DCE-0740-4553-8B9F-ED822DB5C262}" name="#REF!9" dataDxfId="1"/>
    <tableColumn id="21" xr3:uid="{31460DA5-2843-4A91-9F65-EF2735388374}" name="#REF!1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workbookViewId="0">
      <selection activeCell="H11" sqref="H11"/>
    </sheetView>
  </sheetViews>
  <sheetFormatPr defaultRowHeight="14.25"/>
  <sheetData>
    <row r="1" spans="1:19" ht="15.7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4"/>
    </row>
    <row r="2" spans="1:19">
      <c r="A2" s="135" t="s">
        <v>1</v>
      </c>
      <c r="B2" s="136"/>
      <c r="C2" s="1"/>
      <c r="D2" s="1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/>
    </row>
    <row r="3" spans="1:19">
      <c r="A3" s="112" t="s">
        <v>2</v>
      </c>
      <c r="B3" s="113"/>
      <c r="C3" s="2"/>
      <c r="D3" s="114" t="s">
        <v>3</v>
      </c>
      <c r="E3" s="115"/>
      <c r="F3" s="116"/>
      <c r="G3" s="3" t="s">
        <v>4</v>
      </c>
      <c r="H3" s="140">
        <v>45614</v>
      </c>
      <c r="I3" s="115"/>
      <c r="J3" s="115"/>
      <c r="K3" s="116"/>
      <c r="L3" s="141" t="s">
        <v>5</v>
      </c>
      <c r="M3" s="142"/>
      <c r="N3" s="142"/>
      <c r="O3" s="142"/>
      <c r="P3" s="143"/>
      <c r="Q3" s="117"/>
      <c r="R3" s="118"/>
      <c r="S3" s="119"/>
    </row>
    <row r="4" spans="1:19">
      <c r="A4" s="112" t="s">
        <v>6</v>
      </c>
      <c r="B4" s="113"/>
      <c r="C4" s="2"/>
      <c r="D4" s="114" t="s">
        <v>7</v>
      </c>
      <c r="E4" s="115"/>
      <c r="F4" s="116"/>
      <c r="G4" s="3" t="s">
        <v>8</v>
      </c>
      <c r="H4" s="114" t="s">
        <v>9</v>
      </c>
      <c r="I4" s="115"/>
      <c r="J4" s="115"/>
      <c r="K4" s="116"/>
      <c r="L4" s="117" t="s">
        <v>10</v>
      </c>
      <c r="M4" s="118"/>
      <c r="N4" s="118"/>
      <c r="O4" s="118"/>
      <c r="P4" s="118"/>
      <c r="Q4" s="118"/>
      <c r="R4" s="118"/>
      <c r="S4" s="119"/>
    </row>
    <row r="5" spans="1:19">
      <c r="A5" s="120" t="s">
        <v>11</v>
      </c>
      <c r="B5" s="121"/>
      <c r="C5" s="4"/>
      <c r="D5" s="91" t="s">
        <v>12</v>
      </c>
      <c r="E5" s="92"/>
      <c r="F5" s="93"/>
      <c r="G5" s="5" t="s">
        <v>13</v>
      </c>
      <c r="H5" s="122" t="s">
        <v>10</v>
      </c>
      <c r="I5" s="92"/>
      <c r="J5" s="92"/>
      <c r="K5" s="93"/>
      <c r="L5" s="91"/>
      <c r="M5" s="92"/>
      <c r="N5" s="92"/>
      <c r="O5" s="92"/>
      <c r="P5" s="92"/>
      <c r="Q5" s="92"/>
      <c r="R5" s="92"/>
      <c r="S5" s="123"/>
    </row>
    <row r="6" spans="1:19" ht="15">
      <c r="A6" s="124" t="s">
        <v>14</v>
      </c>
      <c r="B6" s="125"/>
      <c r="C6" s="125"/>
      <c r="D6" s="126"/>
      <c r="E6" s="6"/>
      <c r="F6" s="7" t="s">
        <v>15</v>
      </c>
      <c r="G6" s="7" t="s">
        <v>16</v>
      </c>
      <c r="H6" s="127" t="s">
        <v>17</v>
      </c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8"/>
    </row>
    <row r="7" spans="1:19">
      <c r="A7" s="8" t="s">
        <v>18</v>
      </c>
      <c r="B7" s="129" t="s">
        <v>19</v>
      </c>
      <c r="C7" s="130"/>
      <c r="D7" s="131"/>
      <c r="E7" s="9"/>
      <c r="F7" s="9" t="s">
        <v>20</v>
      </c>
      <c r="G7" s="9" t="s">
        <v>21</v>
      </c>
      <c r="H7" s="9">
        <v>41</v>
      </c>
      <c r="I7" s="9">
        <v>42</v>
      </c>
      <c r="J7" s="9">
        <v>43</v>
      </c>
      <c r="K7" s="9">
        <v>44</v>
      </c>
      <c r="L7" s="9">
        <v>45</v>
      </c>
      <c r="M7" s="9">
        <v>46</v>
      </c>
      <c r="N7" s="9">
        <v>47</v>
      </c>
      <c r="O7" s="9">
        <v>48</v>
      </c>
      <c r="P7" s="9">
        <v>49</v>
      </c>
      <c r="Q7" s="9">
        <v>50</v>
      </c>
      <c r="R7" s="9">
        <v>51</v>
      </c>
      <c r="S7" s="10" t="s">
        <v>22</v>
      </c>
    </row>
    <row r="8" spans="1:19">
      <c r="A8" s="11"/>
      <c r="B8" s="100" t="s">
        <v>23</v>
      </c>
      <c r="C8" s="101"/>
      <c r="D8" s="107"/>
      <c r="E8" s="38"/>
      <c r="F8" s="13">
        <v>50</v>
      </c>
      <c r="G8" s="14"/>
      <c r="H8" s="14"/>
      <c r="I8" s="15"/>
      <c r="J8" s="16" t="s">
        <v>24</v>
      </c>
      <c r="K8" s="17" t="s">
        <v>24</v>
      </c>
      <c r="L8" s="14"/>
      <c r="M8" s="14"/>
      <c r="N8" s="14"/>
      <c r="O8" s="14"/>
      <c r="P8" s="14"/>
      <c r="Q8" s="15"/>
      <c r="R8" s="18" t="s">
        <v>25</v>
      </c>
      <c r="S8" s="19">
        <f>SUM(S9:S12)</f>
        <v>40</v>
      </c>
    </row>
    <row r="9" spans="1:19">
      <c r="A9" s="20">
        <v>1</v>
      </c>
      <c r="B9" s="94" t="s">
        <v>26</v>
      </c>
      <c r="C9" s="95"/>
      <c r="D9" s="96"/>
      <c r="E9" s="12"/>
      <c r="F9" s="12">
        <v>5</v>
      </c>
      <c r="G9" s="21" t="s">
        <v>27</v>
      </c>
      <c r="H9" s="21"/>
      <c r="I9" s="12"/>
      <c r="J9" s="16" t="s">
        <v>28</v>
      </c>
      <c r="K9" s="17" t="s">
        <v>28</v>
      </c>
      <c r="L9" s="39">
        <v>0</v>
      </c>
      <c r="M9" s="22">
        <v>5</v>
      </c>
      <c r="N9" s="21"/>
      <c r="O9" s="21"/>
      <c r="P9" s="21"/>
      <c r="Q9" s="23"/>
      <c r="R9" s="18" t="s">
        <v>29</v>
      </c>
      <c r="S9" s="24">
        <f>SUM(L9:Q9)</f>
        <v>5</v>
      </c>
    </row>
    <row r="10" spans="1:19">
      <c r="A10" s="20">
        <v>2</v>
      </c>
      <c r="B10" s="25" t="s">
        <v>30</v>
      </c>
      <c r="C10" s="25"/>
      <c r="D10" s="12"/>
      <c r="E10" s="12"/>
      <c r="F10" s="12">
        <v>30</v>
      </c>
      <c r="G10" s="21" t="s">
        <v>31</v>
      </c>
      <c r="H10" s="21"/>
      <c r="I10" s="12"/>
      <c r="J10" s="16" t="s">
        <v>32</v>
      </c>
      <c r="K10" s="17" t="s">
        <v>32</v>
      </c>
      <c r="L10" s="22">
        <v>20</v>
      </c>
      <c r="M10" s="21"/>
      <c r="N10" s="21"/>
      <c r="O10" s="21"/>
      <c r="P10" s="21"/>
      <c r="Q10" s="23"/>
      <c r="R10" s="18" t="s">
        <v>28</v>
      </c>
      <c r="S10" s="24">
        <f>SUM(L10:Q10)</f>
        <v>20</v>
      </c>
    </row>
    <row r="11" spans="1:19">
      <c r="A11" s="20">
        <v>3</v>
      </c>
      <c r="B11" s="25" t="s">
        <v>33</v>
      </c>
      <c r="C11" s="25"/>
      <c r="D11" s="12"/>
      <c r="E11" s="12"/>
      <c r="F11" s="12">
        <v>10</v>
      </c>
      <c r="G11" s="21" t="s">
        <v>31</v>
      </c>
      <c r="H11" s="21"/>
      <c r="I11" s="12"/>
      <c r="J11" s="16" t="s">
        <v>24</v>
      </c>
      <c r="K11" s="17" t="s">
        <v>24</v>
      </c>
      <c r="L11" s="22">
        <v>10</v>
      </c>
      <c r="M11" s="21"/>
      <c r="N11" s="21"/>
      <c r="O11" s="21"/>
      <c r="P11" s="21"/>
      <c r="Q11" s="23"/>
      <c r="R11" s="18" t="s">
        <v>34</v>
      </c>
      <c r="S11" s="24">
        <f>SUM(L11:Q11)</f>
        <v>10</v>
      </c>
    </row>
    <row r="12" spans="1:19">
      <c r="A12" s="26">
        <v>4</v>
      </c>
      <c r="B12" s="88" t="s">
        <v>35</v>
      </c>
      <c r="C12" s="89"/>
      <c r="D12" s="90"/>
      <c r="E12" s="12"/>
      <c r="F12" s="30">
        <v>5</v>
      </c>
      <c r="G12" s="31" t="s">
        <v>36</v>
      </c>
      <c r="H12" s="31"/>
      <c r="I12" s="30"/>
      <c r="J12" s="16" t="s">
        <v>37</v>
      </c>
      <c r="K12" s="17" t="s">
        <v>37</v>
      </c>
      <c r="L12" s="32">
        <v>5</v>
      </c>
      <c r="M12" s="31"/>
      <c r="N12" s="31"/>
      <c r="O12" s="31"/>
      <c r="P12" s="31"/>
      <c r="Q12" s="33"/>
      <c r="R12" s="18" t="s">
        <v>28</v>
      </c>
      <c r="S12" s="34">
        <f>SUM(L12:Q12)</f>
        <v>5</v>
      </c>
    </row>
    <row r="13" spans="1:19">
      <c r="A13" s="11"/>
      <c r="B13" s="100" t="s">
        <v>38</v>
      </c>
      <c r="C13" s="101"/>
      <c r="D13" s="107"/>
      <c r="E13" s="38"/>
      <c r="F13" s="13">
        <v>25</v>
      </c>
      <c r="G13" s="14"/>
      <c r="H13" s="14"/>
      <c r="I13" s="15"/>
      <c r="J13" s="35" t="s">
        <v>39</v>
      </c>
      <c r="K13" s="36" t="s">
        <v>39</v>
      </c>
      <c r="L13" s="14"/>
      <c r="M13" s="14"/>
      <c r="N13" s="37"/>
      <c r="O13" s="14"/>
      <c r="P13" s="14"/>
      <c r="Q13" s="15"/>
      <c r="R13" s="18" t="s">
        <v>32</v>
      </c>
      <c r="S13" s="19">
        <f>SUM(S14:S18)</f>
        <v>5</v>
      </c>
    </row>
    <row r="14" spans="1:19">
      <c r="A14" s="20">
        <v>5</v>
      </c>
      <c r="B14" s="94" t="s">
        <v>40</v>
      </c>
      <c r="C14" s="95"/>
      <c r="D14" s="96"/>
      <c r="E14" s="12"/>
      <c r="F14" s="12">
        <v>5</v>
      </c>
      <c r="G14" s="21" t="s">
        <v>41</v>
      </c>
      <c r="H14" s="21"/>
      <c r="I14" s="12"/>
      <c r="J14" s="16" t="s">
        <v>25</v>
      </c>
      <c r="K14" s="17" t="s">
        <v>25</v>
      </c>
      <c r="L14" s="39">
        <v>0</v>
      </c>
      <c r="M14" s="22">
        <v>5</v>
      </c>
      <c r="N14" s="21"/>
      <c r="O14" s="21"/>
      <c r="P14" s="21"/>
      <c r="Q14" s="23"/>
      <c r="R14" s="18" t="s">
        <v>24</v>
      </c>
      <c r="S14" s="24">
        <f>SUM(L14:Q14)</f>
        <v>5</v>
      </c>
    </row>
    <row r="15" spans="1:19">
      <c r="A15" s="20">
        <v>6</v>
      </c>
      <c r="B15" s="94" t="s">
        <v>42</v>
      </c>
      <c r="C15" s="95"/>
      <c r="D15" s="96"/>
      <c r="E15" s="12"/>
      <c r="F15" s="12">
        <v>5</v>
      </c>
      <c r="G15" s="21" t="s">
        <v>41</v>
      </c>
      <c r="H15" s="21"/>
      <c r="I15" s="12"/>
      <c r="J15" s="16"/>
      <c r="K15" s="17"/>
      <c r="L15" s="83">
        <v>0</v>
      </c>
      <c r="M15" s="21"/>
      <c r="N15" s="21"/>
      <c r="O15" s="21"/>
      <c r="P15" s="21"/>
      <c r="Q15" s="23"/>
      <c r="R15" s="18" t="s">
        <v>37</v>
      </c>
      <c r="S15" s="24">
        <f>SUM(L15:Q15)</f>
        <v>0</v>
      </c>
    </row>
    <row r="16" spans="1:19">
      <c r="A16" s="20">
        <v>7</v>
      </c>
      <c r="B16" s="94" t="s">
        <v>43</v>
      </c>
      <c r="C16" s="95"/>
      <c r="D16" s="96"/>
      <c r="E16" s="12"/>
      <c r="F16" s="12">
        <v>5</v>
      </c>
      <c r="G16" s="21" t="s">
        <v>41</v>
      </c>
      <c r="H16" s="21"/>
      <c r="I16" s="12"/>
      <c r="J16" s="16" t="s">
        <v>24</v>
      </c>
      <c r="K16" s="17" t="s">
        <v>24</v>
      </c>
      <c r="L16" s="22">
        <v>0</v>
      </c>
      <c r="M16" s="21"/>
      <c r="N16" s="21"/>
      <c r="O16" s="21"/>
      <c r="P16" s="21"/>
      <c r="Q16" s="23"/>
      <c r="R16" s="18" t="s">
        <v>24</v>
      </c>
      <c r="S16" s="24">
        <f>SUM(L16:Q16)</f>
        <v>0</v>
      </c>
    </row>
    <row r="17" spans="1:19">
      <c r="A17" s="20">
        <v>8</v>
      </c>
      <c r="B17" s="94" t="s">
        <v>44</v>
      </c>
      <c r="C17" s="95"/>
      <c r="D17" s="96"/>
      <c r="E17" s="12"/>
      <c r="F17" s="12">
        <v>5</v>
      </c>
      <c r="G17" s="21" t="s">
        <v>41</v>
      </c>
      <c r="H17" s="21"/>
      <c r="I17" s="12"/>
      <c r="J17" s="16" t="s">
        <v>28</v>
      </c>
      <c r="K17" s="17" t="s">
        <v>28</v>
      </c>
      <c r="L17" s="22">
        <v>0</v>
      </c>
      <c r="M17" s="21"/>
      <c r="N17" s="21"/>
      <c r="O17" s="21"/>
      <c r="P17" s="21"/>
      <c r="Q17" s="23"/>
      <c r="R17" s="18" t="s">
        <v>45</v>
      </c>
      <c r="S17" s="24">
        <f>SUM(L17:Q17)</f>
        <v>0</v>
      </c>
    </row>
    <row r="18" spans="1:19">
      <c r="A18" s="26">
        <v>9</v>
      </c>
      <c r="B18" s="88" t="s">
        <v>46</v>
      </c>
      <c r="C18" s="89"/>
      <c r="D18" s="90"/>
      <c r="E18" s="12"/>
      <c r="F18" s="30">
        <v>5</v>
      </c>
      <c r="G18" s="31" t="s">
        <v>41</v>
      </c>
      <c r="H18" s="31"/>
      <c r="I18" s="30"/>
      <c r="J18" s="16" t="s">
        <v>32</v>
      </c>
      <c r="K18" s="17" t="s">
        <v>32</v>
      </c>
      <c r="L18" s="32">
        <v>0</v>
      </c>
      <c r="M18" s="31"/>
      <c r="N18" s="31"/>
      <c r="O18" s="31"/>
      <c r="P18" s="31"/>
      <c r="Q18" s="33"/>
      <c r="R18" s="18" t="s">
        <v>47</v>
      </c>
      <c r="S18" s="34">
        <f>SUM(L18:Q18)</f>
        <v>0</v>
      </c>
    </row>
    <row r="19" spans="1:19">
      <c r="A19" s="11"/>
      <c r="B19" s="100" t="s">
        <v>48</v>
      </c>
      <c r="C19" s="101"/>
      <c r="D19" s="107"/>
      <c r="E19" s="38"/>
      <c r="F19" s="13">
        <v>275</v>
      </c>
      <c r="G19" s="14"/>
      <c r="H19" s="14"/>
      <c r="I19" s="15"/>
      <c r="J19" s="16" t="s">
        <v>24</v>
      </c>
      <c r="K19" s="17" t="s">
        <v>24</v>
      </c>
      <c r="L19" s="14"/>
      <c r="M19" s="14"/>
      <c r="N19" s="14"/>
      <c r="O19" s="14"/>
      <c r="P19" s="14"/>
      <c r="Q19" s="15"/>
      <c r="R19" s="18" t="s">
        <v>32</v>
      </c>
      <c r="S19" s="19">
        <f>SUM(S20:S27)</f>
        <v>278</v>
      </c>
    </row>
    <row r="20" spans="1:19">
      <c r="A20" s="20">
        <v>10</v>
      </c>
      <c r="B20" s="94" t="s">
        <v>49</v>
      </c>
      <c r="C20" s="95"/>
      <c r="D20" s="96"/>
      <c r="E20" s="74"/>
      <c r="F20" s="12">
        <v>35</v>
      </c>
      <c r="G20" s="21" t="s">
        <v>41</v>
      </c>
      <c r="H20" s="21"/>
      <c r="I20" s="12"/>
      <c r="J20" s="16" t="s">
        <v>37</v>
      </c>
      <c r="K20" s="17" t="s">
        <v>37</v>
      </c>
      <c r="L20" s="39">
        <v>33</v>
      </c>
      <c r="M20" s="22">
        <v>15</v>
      </c>
      <c r="N20" s="21"/>
      <c r="O20" s="21"/>
      <c r="P20" s="21"/>
      <c r="Q20" s="23"/>
      <c r="R20" s="18"/>
      <c r="S20" s="24">
        <f t="shared" ref="S20:S27" si="0">SUM(L20:Q20)</f>
        <v>48</v>
      </c>
    </row>
    <row r="21" spans="1:19">
      <c r="A21" s="20">
        <v>11</v>
      </c>
      <c r="B21" s="94" t="s">
        <v>50</v>
      </c>
      <c r="C21" s="95"/>
      <c r="D21" s="96"/>
      <c r="E21" s="12"/>
      <c r="F21" s="12">
        <v>25</v>
      </c>
      <c r="G21" s="21" t="s">
        <v>51</v>
      </c>
      <c r="H21" s="21"/>
      <c r="I21" s="12"/>
      <c r="J21" s="35" t="s">
        <v>39</v>
      </c>
      <c r="K21" s="36" t="s">
        <v>39</v>
      </c>
      <c r="L21" s="21"/>
      <c r="M21" s="39">
        <v>15</v>
      </c>
      <c r="N21" s="22">
        <v>10</v>
      </c>
      <c r="O21" s="21"/>
      <c r="P21" s="21"/>
      <c r="Q21" s="23"/>
      <c r="R21" s="18" t="s">
        <v>25</v>
      </c>
      <c r="S21" s="24">
        <f t="shared" si="0"/>
        <v>25</v>
      </c>
    </row>
    <row r="22" spans="1:19">
      <c r="A22" s="20">
        <v>12</v>
      </c>
      <c r="B22" s="94" t="s">
        <v>52</v>
      </c>
      <c r="C22" s="95"/>
      <c r="D22" s="96"/>
      <c r="E22" s="12"/>
      <c r="F22" s="12">
        <v>120</v>
      </c>
      <c r="G22" s="21" t="s">
        <v>53</v>
      </c>
      <c r="H22" s="21"/>
      <c r="I22" s="12"/>
      <c r="J22" s="16" t="s">
        <v>25</v>
      </c>
      <c r="K22" s="17" t="s">
        <v>25</v>
      </c>
      <c r="L22" s="21"/>
      <c r="M22" s="21"/>
      <c r="N22" s="39">
        <v>20</v>
      </c>
      <c r="O22" s="39">
        <v>30</v>
      </c>
      <c r="P22" s="22">
        <v>50</v>
      </c>
      <c r="Q22" s="74"/>
      <c r="R22" s="18" t="s">
        <v>29</v>
      </c>
      <c r="S22" s="24">
        <f t="shared" si="0"/>
        <v>100</v>
      </c>
    </row>
    <row r="23" spans="1:19">
      <c r="A23" s="20">
        <v>13</v>
      </c>
      <c r="B23" s="94" t="s">
        <v>54</v>
      </c>
      <c r="C23" s="95"/>
      <c r="D23" s="96"/>
      <c r="E23" s="12"/>
      <c r="F23" s="12">
        <v>10</v>
      </c>
      <c r="G23" s="21" t="s">
        <v>27</v>
      </c>
      <c r="H23" s="21"/>
      <c r="I23" s="12"/>
      <c r="J23" s="16"/>
      <c r="K23" s="17"/>
      <c r="L23" s="21"/>
      <c r="M23" s="22">
        <v>10</v>
      </c>
      <c r="N23" s="21"/>
      <c r="O23" s="21"/>
      <c r="P23" s="21"/>
      <c r="Q23" s="12"/>
      <c r="R23" s="18" t="s">
        <v>28</v>
      </c>
      <c r="S23" s="24">
        <f t="shared" si="0"/>
        <v>10</v>
      </c>
    </row>
    <row r="24" spans="1:19">
      <c r="A24" s="20">
        <v>14</v>
      </c>
      <c r="B24" s="94" t="s">
        <v>55</v>
      </c>
      <c r="C24" s="95"/>
      <c r="D24" s="96"/>
      <c r="E24" s="12"/>
      <c r="F24" s="12">
        <v>40</v>
      </c>
      <c r="G24" s="21" t="s">
        <v>41</v>
      </c>
      <c r="H24" s="21"/>
      <c r="I24" s="12"/>
      <c r="J24" s="16" t="s">
        <v>24</v>
      </c>
      <c r="K24" s="17" t="s">
        <v>24</v>
      </c>
      <c r="L24" s="21"/>
      <c r="M24" s="21"/>
      <c r="N24" s="39">
        <v>25</v>
      </c>
      <c r="O24" s="22">
        <v>15</v>
      </c>
      <c r="P24" s="68"/>
      <c r="Q24" s="23"/>
      <c r="R24" s="18" t="s">
        <v>34</v>
      </c>
      <c r="S24" s="24">
        <f t="shared" si="0"/>
        <v>40</v>
      </c>
    </row>
    <row r="25" spans="1:19">
      <c r="A25" s="20">
        <v>15</v>
      </c>
      <c r="B25" s="94" t="s">
        <v>56</v>
      </c>
      <c r="C25" s="95"/>
      <c r="D25" s="96"/>
      <c r="E25" s="12"/>
      <c r="F25" s="12">
        <v>5</v>
      </c>
      <c r="G25" s="21" t="s">
        <v>51</v>
      </c>
      <c r="H25" s="21"/>
      <c r="I25" s="12"/>
      <c r="J25" s="16" t="s">
        <v>28</v>
      </c>
      <c r="K25" s="17" t="s">
        <v>28</v>
      </c>
      <c r="L25" s="21"/>
      <c r="M25" s="21"/>
      <c r="N25" s="22">
        <v>5</v>
      </c>
      <c r="O25" s="21"/>
      <c r="P25" s="21"/>
      <c r="Q25" s="23"/>
      <c r="R25" s="18" t="s">
        <v>28</v>
      </c>
      <c r="S25" s="24">
        <f t="shared" si="0"/>
        <v>5</v>
      </c>
    </row>
    <row r="26" spans="1:19">
      <c r="A26" s="20">
        <v>16</v>
      </c>
      <c r="B26" s="94" t="s">
        <v>57</v>
      </c>
      <c r="C26" s="95"/>
      <c r="D26" s="96"/>
      <c r="E26" s="12"/>
      <c r="F26" s="12">
        <v>30</v>
      </c>
      <c r="G26" s="21" t="s">
        <v>41</v>
      </c>
      <c r="H26" s="21"/>
      <c r="I26" s="12"/>
      <c r="J26" s="16" t="s">
        <v>32</v>
      </c>
      <c r="K26" s="17" t="s">
        <v>32</v>
      </c>
      <c r="L26" s="21"/>
      <c r="M26" s="21"/>
      <c r="N26" s="21"/>
      <c r="O26" s="39">
        <v>25</v>
      </c>
      <c r="P26" s="22">
        <v>15</v>
      </c>
      <c r="Q26" s="23"/>
      <c r="R26" s="18" t="s">
        <v>32</v>
      </c>
      <c r="S26" s="24">
        <f t="shared" si="0"/>
        <v>40</v>
      </c>
    </row>
    <row r="27" spans="1:19">
      <c r="A27" s="26">
        <v>17</v>
      </c>
      <c r="B27" s="88" t="s">
        <v>58</v>
      </c>
      <c r="C27" s="89"/>
      <c r="D27" s="90"/>
      <c r="E27" s="12"/>
      <c r="F27" s="30">
        <v>10</v>
      </c>
      <c r="G27" s="31" t="s">
        <v>41</v>
      </c>
      <c r="H27" s="31"/>
      <c r="I27" s="30"/>
      <c r="J27" s="16" t="s">
        <v>24</v>
      </c>
      <c r="K27" s="17" t="s">
        <v>24</v>
      </c>
      <c r="L27" s="31"/>
      <c r="M27" s="31"/>
      <c r="N27" s="32">
        <v>10</v>
      </c>
      <c r="O27" s="31"/>
      <c r="P27" s="31"/>
      <c r="Q27" s="33"/>
      <c r="R27" s="18" t="s">
        <v>24</v>
      </c>
      <c r="S27" s="34">
        <f t="shared" si="0"/>
        <v>10</v>
      </c>
    </row>
    <row r="28" spans="1:19">
      <c r="A28" s="11"/>
      <c r="B28" s="100" t="s">
        <v>59</v>
      </c>
      <c r="C28" s="101"/>
      <c r="D28" s="107"/>
      <c r="E28" s="38"/>
      <c r="F28" s="13">
        <v>90</v>
      </c>
      <c r="G28" s="14"/>
      <c r="H28" s="14"/>
      <c r="I28" s="15"/>
      <c r="J28" s="16" t="s">
        <v>37</v>
      </c>
      <c r="K28" s="17" t="s">
        <v>37</v>
      </c>
      <c r="L28" s="14"/>
      <c r="M28" s="14"/>
      <c r="N28" s="14"/>
      <c r="O28" s="14"/>
      <c r="P28" s="14"/>
      <c r="Q28" s="15"/>
      <c r="R28" s="18" t="s">
        <v>37</v>
      </c>
      <c r="S28" s="19">
        <f>SUM(S29:S31)</f>
        <v>80</v>
      </c>
    </row>
    <row r="29" spans="1:19" ht="15">
      <c r="A29" s="20">
        <v>18</v>
      </c>
      <c r="B29" s="94" t="s">
        <v>60</v>
      </c>
      <c r="C29" s="95"/>
      <c r="D29" s="108"/>
      <c r="E29" s="12"/>
      <c r="F29" s="12">
        <v>35</v>
      </c>
      <c r="G29" s="21" t="s">
        <v>61</v>
      </c>
      <c r="H29" s="21"/>
      <c r="I29" s="12"/>
      <c r="J29" s="35" t="s">
        <v>39</v>
      </c>
      <c r="K29" s="36" t="s">
        <v>39</v>
      </c>
      <c r="L29" s="39">
        <v>10</v>
      </c>
      <c r="M29" s="39">
        <v>10</v>
      </c>
      <c r="N29" s="22">
        <v>5</v>
      </c>
      <c r="O29" s="21"/>
      <c r="P29" s="21"/>
      <c r="Q29" s="23"/>
      <c r="R29" s="18" t="s">
        <v>24</v>
      </c>
      <c r="S29" s="24">
        <f>SUM(L29:Q29)</f>
        <v>25</v>
      </c>
    </row>
    <row r="30" spans="1:19" ht="15">
      <c r="A30" s="20">
        <v>19</v>
      </c>
      <c r="B30" s="97" t="s">
        <v>62</v>
      </c>
      <c r="C30" s="98"/>
      <c r="D30" s="99"/>
      <c r="E30" s="12"/>
      <c r="F30" s="12">
        <v>25</v>
      </c>
      <c r="G30" s="21" t="s">
        <v>41</v>
      </c>
      <c r="H30" s="21"/>
      <c r="I30" s="12"/>
      <c r="J30" s="16" t="s">
        <v>25</v>
      </c>
      <c r="K30" s="17" t="s">
        <v>25</v>
      </c>
      <c r="L30" s="21"/>
      <c r="M30" s="21"/>
      <c r="N30" s="39">
        <v>15</v>
      </c>
      <c r="O30" s="22">
        <v>10</v>
      </c>
      <c r="P30" s="21"/>
      <c r="Q30" s="23"/>
      <c r="R30" s="18" t="s">
        <v>45</v>
      </c>
      <c r="S30" s="24">
        <f>SUM(L30:Q30)</f>
        <v>25</v>
      </c>
    </row>
    <row r="31" spans="1:19" ht="15">
      <c r="A31" s="26">
        <v>20</v>
      </c>
      <c r="B31" s="109" t="s">
        <v>63</v>
      </c>
      <c r="C31" s="110"/>
      <c r="D31" s="111"/>
      <c r="E31" s="12"/>
      <c r="F31" s="30">
        <v>30</v>
      </c>
      <c r="G31" s="31" t="s">
        <v>41</v>
      </c>
      <c r="H31" s="31"/>
      <c r="I31" s="30"/>
      <c r="J31" s="16"/>
      <c r="K31" s="17"/>
      <c r="L31" s="31"/>
      <c r="M31" s="21"/>
      <c r="N31" s="41">
        <v>15</v>
      </c>
      <c r="O31" s="32">
        <v>15</v>
      </c>
      <c r="P31" s="31"/>
      <c r="Q31" s="33"/>
      <c r="R31" s="18" t="s">
        <v>47</v>
      </c>
      <c r="S31" s="34">
        <f>SUM(L31:Q31)</f>
        <v>30</v>
      </c>
    </row>
    <row r="32" spans="1:19" ht="15">
      <c r="A32" s="11"/>
      <c r="B32" s="100" t="s">
        <v>64</v>
      </c>
      <c r="C32" s="101"/>
      <c r="D32" s="107"/>
      <c r="E32" s="38"/>
      <c r="F32" s="13">
        <v>30</v>
      </c>
      <c r="G32" s="14"/>
      <c r="H32" s="14"/>
      <c r="I32" s="15"/>
      <c r="J32" s="16" t="s">
        <v>24</v>
      </c>
      <c r="K32" s="17" t="s">
        <v>24</v>
      </c>
      <c r="L32" s="14"/>
      <c r="M32" s="14"/>
      <c r="N32" s="14"/>
      <c r="O32" s="14"/>
      <c r="P32" s="14"/>
      <c r="Q32" s="15"/>
      <c r="R32" s="18" t="s">
        <v>32</v>
      </c>
      <c r="S32" s="19">
        <f>SUM(S33:S34)</f>
        <v>30</v>
      </c>
    </row>
    <row r="33" spans="1:19">
      <c r="A33" s="20">
        <v>21</v>
      </c>
      <c r="B33" s="94" t="s">
        <v>65</v>
      </c>
      <c r="C33" s="95"/>
      <c r="D33" s="108"/>
      <c r="E33" s="12"/>
      <c r="F33" s="12">
        <v>15</v>
      </c>
      <c r="G33" s="21" t="s">
        <v>31</v>
      </c>
      <c r="H33" s="21"/>
      <c r="I33" s="12"/>
      <c r="J33" s="16" t="s">
        <v>28</v>
      </c>
      <c r="K33" s="17" t="s">
        <v>28</v>
      </c>
      <c r="L33" s="21"/>
      <c r="M33" s="22">
        <v>15</v>
      </c>
      <c r="N33" s="21"/>
      <c r="O33" s="21"/>
      <c r="P33" s="21"/>
      <c r="Q33" s="23"/>
      <c r="R33" s="18"/>
      <c r="S33" s="24">
        <f>SUM(L33:Q33)</f>
        <v>15</v>
      </c>
    </row>
    <row r="34" spans="1:19">
      <c r="A34" s="26">
        <v>22</v>
      </c>
      <c r="B34" s="88" t="s">
        <v>66</v>
      </c>
      <c r="C34" s="89"/>
      <c r="D34" s="90"/>
      <c r="E34" s="12"/>
      <c r="F34" s="30">
        <v>15</v>
      </c>
      <c r="G34" s="31" t="s">
        <v>27</v>
      </c>
      <c r="H34" s="31"/>
      <c r="I34" s="30"/>
      <c r="J34" s="16" t="s">
        <v>32</v>
      </c>
      <c r="K34" s="17" t="s">
        <v>32</v>
      </c>
      <c r="L34" s="31"/>
      <c r="M34" s="31"/>
      <c r="N34" s="31"/>
      <c r="O34" s="31"/>
      <c r="P34" s="32">
        <v>15</v>
      </c>
      <c r="Q34" s="33"/>
      <c r="R34" s="18" t="s">
        <v>25</v>
      </c>
      <c r="S34" s="34">
        <f>SUM(L34:Q34)</f>
        <v>15</v>
      </c>
    </row>
    <row r="35" spans="1:19">
      <c r="A35" s="11"/>
      <c r="B35" s="100" t="s">
        <v>67</v>
      </c>
      <c r="C35" s="101"/>
      <c r="D35" s="107"/>
      <c r="E35" s="38"/>
      <c r="F35" s="13">
        <v>65</v>
      </c>
      <c r="G35" s="14"/>
      <c r="H35" s="14"/>
      <c r="I35" s="15"/>
      <c r="J35" s="16" t="s">
        <v>24</v>
      </c>
      <c r="K35" s="17" t="s">
        <v>24</v>
      </c>
      <c r="L35" s="14"/>
      <c r="M35" s="14"/>
      <c r="N35" s="14"/>
      <c r="O35" s="14"/>
      <c r="P35" s="14"/>
      <c r="Q35" s="15"/>
      <c r="R35" s="18" t="s">
        <v>29</v>
      </c>
      <c r="S35" s="19">
        <f>SUM(S36:S37)</f>
        <v>65</v>
      </c>
    </row>
    <row r="36" spans="1:19" ht="15">
      <c r="A36" s="20">
        <v>23</v>
      </c>
      <c r="B36" s="94" t="s">
        <v>68</v>
      </c>
      <c r="C36" s="95"/>
      <c r="D36" s="96"/>
      <c r="E36" s="12"/>
      <c r="F36" s="12">
        <v>40</v>
      </c>
      <c r="G36" s="21" t="s">
        <v>69</v>
      </c>
      <c r="H36" s="21"/>
      <c r="I36" s="12"/>
      <c r="J36" s="16" t="s">
        <v>37</v>
      </c>
      <c r="K36" s="17" t="s">
        <v>37</v>
      </c>
      <c r="L36" s="67">
        <v>20</v>
      </c>
      <c r="M36" s="67">
        <v>10</v>
      </c>
      <c r="N36" s="22">
        <v>10</v>
      </c>
      <c r="O36" s="68"/>
      <c r="P36" s="21"/>
      <c r="Q36" s="23"/>
      <c r="R36" s="18" t="s">
        <v>28</v>
      </c>
      <c r="S36" s="24">
        <f>SUM(L36:Q36)</f>
        <v>40</v>
      </c>
    </row>
    <row r="37" spans="1:19" ht="15">
      <c r="A37" s="26">
        <v>24</v>
      </c>
      <c r="B37" s="88" t="s">
        <v>70</v>
      </c>
      <c r="C37" s="89"/>
      <c r="D37" s="106"/>
      <c r="E37" s="12"/>
      <c r="F37" s="30">
        <v>25</v>
      </c>
      <c r="G37" s="31" t="s">
        <v>27</v>
      </c>
      <c r="H37" s="31"/>
      <c r="I37" s="30"/>
      <c r="J37" s="35" t="s">
        <v>39</v>
      </c>
      <c r="K37" s="36" t="s">
        <v>39</v>
      </c>
      <c r="L37" s="31"/>
      <c r="M37" s="39">
        <v>10</v>
      </c>
      <c r="N37" s="22">
        <v>15</v>
      </c>
      <c r="O37" s="69"/>
      <c r="P37" s="69"/>
      <c r="Q37" s="33"/>
      <c r="R37" s="18" t="s">
        <v>34</v>
      </c>
      <c r="S37" s="34">
        <f>SUM(L37:Q37)</f>
        <v>25</v>
      </c>
    </row>
    <row r="38" spans="1:19" ht="15">
      <c r="A38" s="11"/>
      <c r="B38" s="100" t="s">
        <v>71</v>
      </c>
      <c r="C38" s="101"/>
      <c r="D38" s="107"/>
      <c r="E38" s="38"/>
      <c r="F38" s="13">
        <v>105</v>
      </c>
      <c r="G38" s="14"/>
      <c r="H38" s="14"/>
      <c r="I38" s="15"/>
      <c r="J38" s="16" t="s">
        <v>25</v>
      </c>
      <c r="K38" s="17" t="s">
        <v>25</v>
      </c>
      <c r="L38" s="14"/>
      <c r="M38" s="14"/>
      <c r="N38" s="14"/>
      <c r="O38" s="14"/>
      <c r="P38" s="14"/>
      <c r="Q38" s="15"/>
      <c r="R38" s="18" t="s">
        <v>28</v>
      </c>
      <c r="S38" s="19">
        <f>SUM(S39:S44)</f>
        <v>120</v>
      </c>
    </row>
    <row r="39" spans="1:19">
      <c r="A39" s="20">
        <v>25</v>
      </c>
      <c r="B39" s="94" t="s">
        <v>72</v>
      </c>
      <c r="C39" s="95"/>
      <c r="D39" s="96"/>
      <c r="E39" s="12"/>
      <c r="F39" s="12">
        <v>35</v>
      </c>
      <c r="G39" s="21" t="s">
        <v>73</v>
      </c>
      <c r="H39" s="21"/>
      <c r="I39" s="12"/>
      <c r="J39" s="16"/>
      <c r="K39" s="17"/>
      <c r="L39" s="39">
        <v>10</v>
      </c>
      <c r="M39" s="22">
        <v>15</v>
      </c>
      <c r="N39" s="21"/>
      <c r="O39" s="21"/>
      <c r="P39" s="21"/>
      <c r="Q39" s="23"/>
      <c r="R39" s="18" t="s">
        <v>32</v>
      </c>
      <c r="S39" s="75">
        <f>SUM(L39:Q39)</f>
        <v>25</v>
      </c>
    </row>
    <row r="40" spans="1:19">
      <c r="A40" s="20">
        <v>26</v>
      </c>
      <c r="B40" s="94" t="s">
        <v>74</v>
      </c>
      <c r="C40" s="95"/>
      <c r="D40" s="96"/>
      <c r="E40" s="12"/>
      <c r="F40" s="12">
        <v>35</v>
      </c>
      <c r="G40" s="21" t="s">
        <v>75</v>
      </c>
      <c r="H40" s="21"/>
      <c r="I40" s="12"/>
      <c r="J40" s="16" t="s">
        <v>24</v>
      </c>
      <c r="K40" s="17" t="s">
        <v>24</v>
      </c>
      <c r="L40" s="42">
        <v>20</v>
      </c>
      <c r="M40" s="43">
        <v>15</v>
      </c>
      <c r="N40" s="21"/>
      <c r="O40" s="21"/>
      <c r="P40" s="21"/>
      <c r="Q40" s="23"/>
      <c r="R40" s="18" t="s">
        <v>24</v>
      </c>
      <c r="S40" s="75">
        <f t="shared" ref="S40:S44" si="1">SUM(L40:Q40)</f>
        <v>35</v>
      </c>
    </row>
    <row r="41" spans="1:19">
      <c r="A41" s="20">
        <v>27</v>
      </c>
      <c r="B41" s="94" t="s">
        <v>76</v>
      </c>
      <c r="C41" s="95"/>
      <c r="D41" s="96"/>
      <c r="E41" s="12"/>
      <c r="F41" s="12">
        <v>5</v>
      </c>
      <c r="G41" s="21" t="s">
        <v>77</v>
      </c>
      <c r="H41" s="21"/>
      <c r="I41" s="12"/>
      <c r="J41" s="16" t="s">
        <v>28</v>
      </c>
      <c r="K41" s="17" t="s">
        <v>28</v>
      </c>
      <c r="L41" s="21"/>
      <c r="M41" s="21"/>
      <c r="N41" s="22">
        <v>5</v>
      </c>
      <c r="O41" s="21"/>
      <c r="P41" s="21"/>
      <c r="Q41" s="23"/>
      <c r="R41" s="18" t="s">
        <v>37</v>
      </c>
      <c r="S41" s="75">
        <f t="shared" si="1"/>
        <v>5</v>
      </c>
    </row>
    <row r="42" spans="1:19">
      <c r="A42" s="20">
        <v>28</v>
      </c>
      <c r="B42" s="94" t="s">
        <v>78</v>
      </c>
      <c r="C42" s="95"/>
      <c r="D42" s="96"/>
      <c r="E42" s="12"/>
      <c r="F42" s="12">
        <v>10</v>
      </c>
      <c r="G42" s="21" t="s">
        <v>77</v>
      </c>
      <c r="H42" s="21"/>
      <c r="I42" s="12"/>
      <c r="J42" s="16" t="s">
        <v>32</v>
      </c>
      <c r="K42" s="17" t="s">
        <v>32</v>
      </c>
      <c r="L42" s="21"/>
      <c r="M42" s="21"/>
      <c r="N42" s="22">
        <v>10</v>
      </c>
      <c r="O42" s="21"/>
      <c r="P42" s="21"/>
      <c r="Q42" s="23"/>
      <c r="R42" s="18" t="s">
        <v>24</v>
      </c>
      <c r="S42" s="75">
        <f t="shared" si="1"/>
        <v>10</v>
      </c>
    </row>
    <row r="43" spans="1:19">
      <c r="A43" s="20">
        <v>29</v>
      </c>
      <c r="B43" s="94" t="s">
        <v>79</v>
      </c>
      <c r="C43" s="95"/>
      <c r="D43" s="96"/>
      <c r="E43" s="12"/>
      <c r="F43" s="12">
        <v>10</v>
      </c>
      <c r="G43" s="21" t="s">
        <v>77</v>
      </c>
      <c r="H43" s="21"/>
      <c r="I43" s="12"/>
      <c r="J43" s="16" t="s">
        <v>24</v>
      </c>
      <c r="K43" s="17" t="s">
        <v>24</v>
      </c>
      <c r="L43" s="21"/>
      <c r="M43" s="21"/>
      <c r="N43" s="21"/>
      <c r="O43" s="22">
        <v>25</v>
      </c>
      <c r="P43" s="21"/>
      <c r="Q43" s="23"/>
      <c r="R43" s="18" t="s">
        <v>45</v>
      </c>
      <c r="S43" s="75">
        <f t="shared" si="1"/>
        <v>25</v>
      </c>
    </row>
    <row r="44" spans="1:19">
      <c r="A44" s="26">
        <v>30</v>
      </c>
      <c r="B44" s="88" t="s">
        <v>80</v>
      </c>
      <c r="C44" s="89"/>
      <c r="D44" s="90"/>
      <c r="E44" s="12"/>
      <c r="F44" s="30">
        <v>10</v>
      </c>
      <c r="G44" s="31" t="s">
        <v>77</v>
      </c>
      <c r="H44" s="31"/>
      <c r="I44" s="30"/>
      <c r="J44" s="16" t="s">
        <v>37</v>
      </c>
      <c r="K44" s="17" t="s">
        <v>37</v>
      </c>
      <c r="L44" s="31"/>
      <c r="M44" s="31"/>
      <c r="N44" s="31"/>
      <c r="O44" s="32">
        <v>20</v>
      </c>
      <c r="P44" s="31"/>
      <c r="Q44" s="33"/>
      <c r="R44" s="18" t="s">
        <v>47</v>
      </c>
      <c r="S44" s="75">
        <f t="shared" si="1"/>
        <v>20</v>
      </c>
    </row>
    <row r="45" spans="1:19">
      <c r="A45" s="11"/>
      <c r="B45" s="100" t="s">
        <v>81</v>
      </c>
      <c r="C45" s="101"/>
      <c r="D45" s="102"/>
      <c r="E45" s="38"/>
      <c r="F45" s="13">
        <v>320</v>
      </c>
      <c r="G45" s="14"/>
      <c r="H45" s="14"/>
      <c r="I45" s="15"/>
      <c r="J45" s="35" t="s">
        <v>39</v>
      </c>
      <c r="K45" s="36" t="s">
        <v>39</v>
      </c>
      <c r="L45" s="14"/>
      <c r="M45" s="14"/>
      <c r="N45" s="14"/>
      <c r="O45" s="14"/>
      <c r="P45" s="14"/>
      <c r="Q45" s="15"/>
      <c r="R45" s="18" t="s">
        <v>32</v>
      </c>
      <c r="S45" s="19">
        <f>SUM(S46:S50)</f>
        <v>177</v>
      </c>
    </row>
    <row r="46" spans="1:19">
      <c r="A46" s="20">
        <v>31</v>
      </c>
      <c r="B46" s="97" t="s">
        <v>82</v>
      </c>
      <c r="C46" s="98"/>
      <c r="D46" s="99"/>
      <c r="E46" s="12"/>
      <c r="F46" s="12">
        <v>25</v>
      </c>
      <c r="G46" s="21" t="s">
        <v>53</v>
      </c>
      <c r="H46" s="21"/>
      <c r="I46" s="12"/>
      <c r="J46" s="16" t="s">
        <v>25</v>
      </c>
      <c r="K46" s="17" t="s">
        <v>25</v>
      </c>
      <c r="L46" s="39">
        <v>1</v>
      </c>
      <c r="M46" s="39">
        <v>2</v>
      </c>
      <c r="N46" s="39">
        <v>2</v>
      </c>
      <c r="O46" s="39">
        <v>2</v>
      </c>
      <c r="P46" s="22">
        <v>2</v>
      </c>
      <c r="Q46" s="23"/>
      <c r="R46" s="18"/>
      <c r="S46" s="75">
        <f t="shared" ref="S46:S50" si="2">SUM(L46:Q46)</f>
        <v>9</v>
      </c>
    </row>
    <row r="47" spans="1:19">
      <c r="A47" s="20">
        <v>32</v>
      </c>
      <c r="B47" s="103" t="s">
        <v>83</v>
      </c>
      <c r="C47" s="104"/>
      <c r="D47" s="105"/>
      <c r="E47" s="12"/>
      <c r="F47" s="12">
        <v>90</v>
      </c>
      <c r="G47" s="21" t="s">
        <v>53</v>
      </c>
      <c r="H47" s="39">
        <v>64</v>
      </c>
      <c r="I47" s="40">
        <v>28</v>
      </c>
      <c r="J47" s="16"/>
      <c r="K47" s="17"/>
      <c r="L47" s="21"/>
      <c r="M47" s="21"/>
      <c r="N47" s="21"/>
      <c r="O47" s="21"/>
      <c r="P47" s="21"/>
      <c r="Q47" s="23"/>
      <c r="R47" s="18" t="s">
        <v>25</v>
      </c>
      <c r="S47" s="75">
        <f t="shared" si="2"/>
        <v>0</v>
      </c>
    </row>
    <row r="48" spans="1:19">
      <c r="A48" s="20">
        <v>33</v>
      </c>
      <c r="B48" s="103" t="s">
        <v>84</v>
      </c>
      <c r="C48" s="104"/>
      <c r="D48" s="105"/>
      <c r="E48" s="12"/>
      <c r="F48" s="12">
        <v>40</v>
      </c>
      <c r="G48" s="21" t="s">
        <v>53</v>
      </c>
      <c r="H48" s="21"/>
      <c r="I48" s="12"/>
      <c r="J48" s="16" t="s">
        <v>24</v>
      </c>
      <c r="K48" s="17" t="s">
        <v>24</v>
      </c>
      <c r="L48" s="21"/>
      <c r="M48" s="21"/>
      <c r="N48" s="21"/>
      <c r="O48" s="21"/>
      <c r="P48" s="39">
        <v>20</v>
      </c>
      <c r="Q48" s="40">
        <v>14</v>
      </c>
      <c r="R48" s="18" t="s">
        <v>29</v>
      </c>
      <c r="S48" s="75">
        <f t="shared" si="2"/>
        <v>34</v>
      </c>
    </row>
    <row r="49" spans="1:19">
      <c r="A49" s="20">
        <v>34</v>
      </c>
      <c r="B49" s="97" t="s">
        <v>85</v>
      </c>
      <c r="C49" s="98"/>
      <c r="D49" s="99"/>
      <c r="E49" s="12"/>
      <c r="F49" s="12">
        <v>135</v>
      </c>
      <c r="G49" s="21" t="s">
        <v>53</v>
      </c>
      <c r="H49" s="21"/>
      <c r="I49" s="12"/>
      <c r="J49" s="16" t="s">
        <v>28</v>
      </c>
      <c r="K49" s="17" t="s">
        <v>28</v>
      </c>
      <c r="L49" s="21"/>
      <c r="M49" s="21"/>
      <c r="N49" s="39">
        <v>5</v>
      </c>
      <c r="O49" s="39">
        <v>5</v>
      </c>
      <c r="P49" s="39">
        <v>45</v>
      </c>
      <c r="Q49" s="40">
        <v>50</v>
      </c>
      <c r="R49" s="18" t="s">
        <v>28</v>
      </c>
      <c r="S49" s="75">
        <f t="shared" si="2"/>
        <v>105</v>
      </c>
    </row>
    <row r="50" spans="1:19">
      <c r="A50" s="26">
        <v>35</v>
      </c>
      <c r="B50" s="88" t="s">
        <v>86</v>
      </c>
      <c r="C50" s="89"/>
      <c r="D50" s="90"/>
      <c r="E50" s="12"/>
      <c r="F50" s="30">
        <v>30</v>
      </c>
      <c r="G50" s="31" t="s">
        <v>53</v>
      </c>
      <c r="H50" s="31"/>
      <c r="I50" s="30"/>
      <c r="J50" s="16" t="s">
        <v>32</v>
      </c>
      <c r="K50" s="17" t="s">
        <v>32</v>
      </c>
      <c r="L50" s="41">
        <v>4</v>
      </c>
      <c r="M50" s="41">
        <v>5</v>
      </c>
      <c r="N50" s="41">
        <v>5</v>
      </c>
      <c r="O50" s="41">
        <v>5</v>
      </c>
      <c r="P50" s="41">
        <v>5</v>
      </c>
      <c r="Q50" s="44">
        <v>5</v>
      </c>
      <c r="R50" s="18" t="s">
        <v>34</v>
      </c>
      <c r="S50" s="75">
        <f t="shared" si="2"/>
        <v>29</v>
      </c>
    </row>
    <row r="51" spans="1:19">
      <c r="A51" s="70"/>
      <c r="B51" s="76" t="s">
        <v>87</v>
      </c>
      <c r="C51" s="77"/>
      <c r="D51" s="77"/>
      <c r="E51" s="38"/>
      <c r="F51" s="78"/>
      <c r="G51" s="72"/>
      <c r="H51" s="72"/>
      <c r="I51" s="73"/>
      <c r="J51" s="16"/>
      <c r="K51" s="17"/>
      <c r="L51" s="41"/>
      <c r="M51" s="41"/>
      <c r="N51" s="41"/>
      <c r="O51" s="41"/>
      <c r="P51" s="41"/>
      <c r="Q51" s="71"/>
      <c r="R51" s="18" t="s">
        <v>28</v>
      </c>
      <c r="S51" s="19">
        <f>SUM(S52)</f>
        <v>75</v>
      </c>
    </row>
    <row r="52" spans="1:19">
      <c r="A52" s="26">
        <v>36</v>
      </c>
      <c r="B52" s="27"/>
      <c r="C52" s="28"/>
      <c r="D52" s="28"/>
      <c r="E52" s="12"/>
      <c r="F52" s="30"/>
      <c r="G52" s="31"/>
      <c r="H52" s="31"/>
      <c r="I52" s="30"/>
      <c r="J52" s="16"/>
      <c r="K52" s="17"/>
      <c r="L52" s="69"/>
      <c r="M52" s="69"/>
      <c r="N52" s="69"/>
      <c r="O52" s="69"/>
      <c r="P52" s="69"/>
      <c r="Q52" s="44">
        <v>75</v>
      </c>
      <c r="R52" s="18" t="s">
        <v>32</v>
      </c>
      <c r="S52" s="75">
        <f>SUM(L52:Q52)</f>
        <v>75</v>
      </c>
    </row>
    <row r="53" spans="1:19">
      <c r="A53" s="11"/>
      <c r="B53" s="100" t="s">
        <v>88</v>
      </c>
      <c r="C53" s="101"/>
      <c r="D53" s="102"/>
      <c r="E53" s="38"/>
      <c r="F53" s="13">
        <v>0</v>
      </c>
      <c r="G53" s="14"/>
      <c r="H53" s="14"/>
      <c r="I53" s="15"/>
      <c r="J53" s="16" t="s">
        <v>24</v>
      </c>
      <c r="K53" s="17" t="s">
        <v>24</v>
      </c>
      <c r="L53" s="14"/>
      <c r="M53" s="14"/>
      <c r="N53" s="14"/>
      <c r="O53" s="14"/>
      <c r="P53" s="14"/>
      <c r="Q53" s="15"/>
      <c r="R53" s="18" t="s">
        <v>24</v>
      </c>
      <c r="S53" s="19">
        <v>0</v>
      </c>
    </row>
    <row r="54" spans="1:19">
      <c r="A54" s="20" t="s">
        <v>89</v>
      </c>
      <c r="B54" s="94" t="s">
        <v>90</v>
      </c>
      <c r="C54" s="95"/>
      <c r="D54" s="96"/>
      <c r="E54" s="12"/>
      <c r="F54" s="12">
        <v>0</v>
      </c>
      <c r="G54" s="21" t="s">
        <v>53</v>
      </c>
      <c r="H54" s="21"/>
      <c r="I54" s="12"/>
      <c r="J54" s="16" t="s">
        <v>37</v>
      </c>
      <c r="K54" s="17" t="s">
        <v>37</v>
      </c>
      <c r="L54" s="21"/>
      <c r="M54" s="21"/>
      <c r="N54" s="21"/>
      <c r="O54" s="21"/>
      <c r="P54" s="21"/>
      <c r="Q54" s="23"/>
      <c r="R54" s="18" t="s">
        <v>37</v>
      </c>
      <c r="S54" s="24">
        <v>0</v>
      </c>
    </row>
    <row r="55" spans="1:19">
      <c r="A55" s="20" t="s">
        <v>91</v>
      </c>
      <c r="B55" s="94" t="s">
        <v>92</v>
      </c>
      <c r="C55" s="95"/>
      <c r="D55" s="96"/>
      <c r="E55" s="12"/>
      <c r="F55" s="12">
        <v>0</v>
      </c>
      <c r="G55" s="21" t="s">
        <v>53</v>
      </c>
      <c r="H55" s="21"/>
      <c r="I55" s="12"/>
      <c r="J55" s="35" t="s">
        <v>39</v>
      </c>
      <c r="K55" s="36" t="s">
        <v>39</v>
      </c>
      <c r="L55" s="21"/>
      <c r="M55" s="21"/>
      <c r="N55" s="21"/>
      <c r="O55" s="21"/>
      <c r="P55" s="21"/>
      <c r="Q55" s="23"/>
      <c r="R55" s="18" t="s">
        <v>24</v>
      </c>
      <c r="S55" s="24">
        <v>0</v>
      </c>
    </row>
    <row r="56" spans="1:19">
      <c r="A56" s="20" t="s">
        <v>93</v>
      </c>
      <c r="B56" s="94" t="s">
        <v>94</v>
      </c>
      <c r="C56" s="95"/>
      <c r="D56" s="96"/>
      <c r="E56" s="12"/>
      <c r="F56" s="12">
        <v>0</v>
      </c>
      <c r="G56" s="21" t="s">
        <v>53</v>
      </c>
      <c r="H56" s="21"/>
      <c r="I56" s="45"/>
      <c r="J56" s="16" t="s">
        <v>25</v>
      </c>
      <c r="K56" s="17" t="s">
        <v>25</v>
      </c>
      <c r="L56" s="21"/>
      <c r="M56" s="21"/>
      <c r="N56" s="21"/>
      <c r="O56" s="21"/>
      <c r="P56" s="21"/>
      <c r="Q56" s="23"/>
      <c r="R56" s="18" t="s">
        <v>45</v>
      </c>
      <c r="S56" s="24">
        <v>0</v>
      </c>
    </row>
    <row r="57" spans="1:19">
      <c r="A57" s="20" t="s">
        <v>95</v>
      </c>
      <c r="B57" s="94" t="s">
        <v>96</v>
      </c>
      <c r="C57" s="95"/>
      <c r="D57" s="96"/>
      <c r="E57" s="12"/>
      <c r="F57" s="12">
        <v>0</v>
      </c>
      <c r="G57" s="21" t="s">
        <v>53</v>
      </c>
      <c r="H57" s="21"/>
      <c r="I57" s="12"/>
      <c r="J57" s="16"/>
      <c r="K57" s="17"/>
      <c r="L57" s="21"/>
      <c r="M57" s="21"/>
      <c r="N57" s="46"/>
      <c r="O57" s="21"/>
      <c r="P57" s="21"/>
      <c r="Q57" s="23"/>
      <c r="R57" s="18" t="s">
        <v>47</v>
      </c>
      <c r="S57" s="24">
        <v>0</v>
      </c>
    </row>
    <row r="58" spans="1:19">
      <c r="A58" s="20" t="s">
        <v>97</v>
      </c>
      <c r="B58" s="94" t="s">
        <v>98</v>
      </c>
      <c r="C58" s="95"/>
      <c r="D58" s="96"/>
      <c r="E58" s="12"/>
      <c r="F58" s="12">
        <v>0</v>
      </c>
      <c r="G58" s="21" t="s">
        <v>53</v>
      </c>
      <c r="H58" s="21"/>
      <c r="I58" s="12"/>
      <c r="J58" s="16" t="s">
        <v>24</v>
      </c>
      <c r="K58" s="17" t="s">
        <v>24</v>
      </c>
      <c r="L58" s="21"/>
      <c r="M58" s="21"/>
      <c r="N58" s="21"/>
      <c r="O58" s="21"/>
      <c r="P58" s="21"/>
      <c r="Q58" s="45"/>
      <c r="R58" s="18" t="s">
        <v>32</v>
      </c>
      <c r="S58" s="24">
        <v>0</v>
      </c>
    </row>
    <row r="59" spans="1:19">
      <c r="A59" s="20" t="s">
        <v>99</v>
      </c>
      <c r="B59" s="94" t="s">
        <v>100</v>
      </c>
      <c r="C59" s="95"/>
      <c r="D59" s="96"/>
      <c r="E59" s="12"/>
      <c r="F59" s="12">
        <v>0</v>
      </c>
      <c r="G59" s="21" t="s">
        <v>53</v>
      </c>
      <c r="H59" s="21"/>
      <c r="I59" s="12"/>
      <c r="J59" s="16" t="s">
        <v>28</v>
      </c>
      <c r="K59" s="17" t="s">
        <v>28</v>
      </c>
      <c r="L59" s="21"/>
      <c r="M59" s="21"/>
      <c r="N59" s="21"/>
      <c r="O59" s="21"/>
      <c r="P59" s="21"/>
      <c r="Q59" s="23"/>
      <c r="R59" s="18"/>
      <c r="S59" s="24">
        <v>0</v>
      </c>
    </row>
    <row r="60" spans="1:19">
      <c r="A60" s="26" t="s">
        <v>101</v>
      </c>
      <c r="B60" s="88" t="s">
        <v>102</v>
      </c>
      <c r="C60" s="89"/>
      <c r="D60" s="90"/>
      <c r="E60" s="12"/>
      <c r="F60" s="30">
        <v>0</v>
      </c>
      <c r="G60" s="31" t="s">
        <v>53</v>
      </c>
      <c r="H60" s="31"/>
      <c r="I60" s="30"/>
      <c r="J60" s="16" t="s">
        <v>32</v>
      </c>
      <c r="K60" s="17" t="s">
        <v>32</v>
      </c>
      <c r="L60" s="31"/>
      <c r="M60" s="31"/>
      <c r="N60" s="31"/>
      <c r="O60" s="31"/>
      <c r="P60" s="31"/>
      <c r="Q60" s="33"/>
      <c r="R60" s="18"/>
      <c r="S60" s="34">
        <v>0</v>
      </c>
    </row>
    <row r="61" spans="1:19">
      <c r="A61" s="11"/>
      <c r="B61" s="100" t="s">
        <v>103</v>
      </c>
      <c r="C61" s="101"/>
      <c r="D61" s="102"/>
      <c r="E61" s="38"/>
      <c r="F61" s="13">
        <v>0</v>
      </c>
      <c r="G61" s="14"/>
      <c r="H61" s="14"/>
      <c r="I61" s="15"/>
      <c r="J61" s="16" t="s">
        <v>24</v>
      </c>
      <c r="K61" s="17" t="s">
        <v>24</v>
      </c>
      <c r="L61" s="14"/>
      <c r="M61" s="14"/>
      <c r="N61" s="14"/>
      <c r="O61" s="14"/>
      <c r="P61" s="14"/>
      <c r="Q61" s="15"/>
      <c r="R61" s="18"/>
      <c r="S61" s="19">
        <v>0</v>
      </c>
    </row>
    <row r="62" spans="1:19">
      <c r="A62" s="20" t="s">
        <v>104</v>
      </c>
      <c r="B62" s="94" t="s">
        <v>105</v>
      </c>
      <c r="C62" s="95"/>
      <c r="D62" s="96"/>
      <c r="E62" s="12"/>
      <c r="F62" s="12">
        <v>0</v>
      </c>
      <c r="G62" s="21" t="s">
        <v>53</v>
      </c>
      <c r="H62" s="21"/>
      <c r="I62" s="47" t="s">
        <v>106</v>
      </c>
      <c r="J62" s="16" t="s">
        <v>37</v>
      </c>
      <c r="K62" s="17" t="s">
        <v>37</v>
      </c>
      <c r="L62" s="21"/>
      <c r="M62" s="21"/>
      <c r="N62" s="21"/>
      <c r="O62" s="21"/>
      <c r="P62" s="21"/>
      <c r="Q62" s="23"/>
      <c r="R62" s="18" t="s">
        <v>25</v>
      </c>
      <c r="S62" s="24">
        <v>0</v>
      </c>
    </row>
    <row r="63" spans="1:19">
      <c r="A63" s="20" t="s">
        <v>107</v>
      </c>
      <c r="B63" s="94" t="s">
        <v>108</v>
      </c>
      <c r="C63" s="95"/>
      <c r="D63" s="96"/>
      <c r="E63" s="12"/>
      <c r="F63" s="12">
        <v>0</v>
      </c>
      <c r="G63" s="21" t="s">
        <v>53</v>
      </c>
      <c r="H63" s="21"/>
      <c r="I63" s="12"/>
      <c r="J63" s="35" t="s">
        <v>39</v>
      </c>
      <c r="K63" s="36" t="s">
        <v>39</v>
      </c>
      <c r="L63" s="48" t="s">
        <v>109</v>
      </c>
      <c r="M63" s="21"/>
      <c r="N63" s="21"/>
      <c r="O63" s="21"/>
      <c r="P63" s="21"/>
      <c r="Q63" s="23"/>
      <c r="R63" s="18" t="s">
        <v>29</v>
      </c>
      <c r="S63" s="24">
        <v>0</v>
      </c>
    </row>
    <row r="64" spans="1:19">
      <c r="A64" s="20" t="s">
        <v>110</v>
      </c>
      <c r="B64" s="94" t="s">
        <v>111</v>
      </c>
      <c r="C64" s="95"/>
      <c r="D64" s="96"/>
      <c r="E64" s="12"/>
      <c r="F64" s="12">
        <v>0</v>
      </c>
      <c r="G64" s="21" t="s">
        <v>53</v>
      </c>
      <c r="H64" s="21"/>
      <c r="I64" s="12"/>
      <c r="J64" s="16" t="s">
        <v>25</v>
      </c>
      <c r="K64" s="17" t="s">
        <v>25</v>
      </c>
      <c r="L64" s="21"/>
      <c r="M64" s="48" t="s">
        <v>109</v>
      </c>
      <c r="N64" s="21"/>
      <c r="O64" s="21"/>
      <c r="P64" s="21"/>
      <c r="Q64" s="23"/>
      <c r="R64" s="18" t="s">
        <v>28</v>
      </c>
      <c r="S64" s="24">
        <v>0</v>
      </c>
    </row>
    <row r="65" spans="1:19">
      <c r="A65" s="20" t="s">
        <v>112</v>
      </c>
      <c r="B65" s="94" t="s">
        <v>113</v>
      </c>
      <c r="C65" s="95"/>
      <c r="D65" s="96"/>
      <c r="E65" s="12"/>
      <c r="F65" s="12">
        <v>0</v>
      </c>
      <c r="G65" s="21" t="s">
        <v>53</v>
      </c>
      <c r="H65" s="21"/>
      <c r="I65" s="12"/>
      <c r="J65" s="16"/>
      <c r="K65" s="17"/>
      <c r="L65" s="21"/>
      <c r="M65" s="48" t="s">
        <v>114</v>
      </c>
      <c r="N65" s="21"/>
      <c r="O65" s="21"/>
      <c r="P65" s="21"/>
      <c r="Q65" s="23"/>
      <c r="R65" s="18" t="s">
        <v>34</v>
      </c>
      <c r="S65" s="24">
        <v>0</v>
      </c>
    </row>
    <row r="66" spans="1:19">
      <c r="A66" s="20" t="s">
        <v>115</v>
      </c>
      <c r="B66" s="94" t="s">
        <v>116</v>
      </c>
      <c r="C66" s="95"/>
      <c r="D66" s="96"/>
      <c r="E66" s="12"/>
      <c r="F66" s="12">
        <v>0</v>
      </c>
      <c r="G66" s="21" t="s">
        <v>53</v>
      </c>
      <c r="H66" s="21"/>
      <c r="I66" s="12"/>
      <c r="J66" s="16" t="s">
        <v>24</v>
      </c>
      <c r="K66" s="17" t="s">
        <v>24</v>
      </c>
      <c r="L66" s="21"/>
      <c r="M66" s="48" t="s">
        <v>114</v>
      </c>
      <c r="N66" s="80"/>
      <c r="O66" s="68"/>
      <c r="P66" s="21"/>
      <c r="Q66" s="23"/>
      <c r="R66" s="18" t="s">
        <v>28</v>
      </c>
      <c r="S66" s="24">
        <v>0</v>
      </c>
    </row>
    <row r="67" spans="1:19">
      <c r="A67" s="20" t="s">
        <v>117</v>
      </c>
      <c r="B67" s="94" t="s">
        <v>118</v>
      </c>
      <c r="C67" s="95"/>
      <c r="D67" s="96"/>
      <c r="E67" s="12"/>
      <c r="F67" s="12">
        <v>0</v>
      </c>
      <c r="G67" s="21" t="s">
        <v>53</v>
      </c>
      <c r="H67" s="21"/>
      <c r="I67" s="12"/>
      <c r="J67" s="16" t="s">
        <v>28</v>
      </c>
      <c r="K67" s="17" t="s">
        <v>28</v>
      </c>
      <c r="L67" s="21"/>
      <c r="M67" s="48" t="s">
        <v>114</v>
      </c>
      <c r="N67" s="68"/>
      <c r="O67" s="68"/>
      <c r="P67" s="21"/>
      <c r="Q67" s="23"/>
      <c r="R67" s="18" t="s">
        <v>32</v>
      </c>
      <c r="S67" s="24">
        <v>0</v>
      </c>
    </row>
    <row r="68" spans="1:19">
      <c r="A68" s="20" t="s">
        <v>119</v>
      </c>
      <c r="B68" s="94" t="s">
        <v>120</v>
      </c>
      <c r="C68" s="95"/>
      <c r="D68" s="96"/>
      <c r="E68" s="12"/>
      <c r="F68" s="12">
        <v>0</v>
      </c>
      <c r="G68" s="21" t="s">
        <v>53</v>
      </c>
      <c r="H68" s="21"/>
      <c r="I68" s="12"/>
      <c r="J68" s="16" t="s">
        <v>32</v>
      </c>
      <c r="K68" s="17" t="s">
        <v>32</v>
      </c>
      <c r="L68" s="21"/>
      <c r="M68" s="21"/>
      <c r="N68" s="48" t="s">
        <v>114</v>
      </c>
      <c r="O68" s="68"/>
      <c r="P68" s="21"/>
      <c r="Q68" s="23"/>
      <c r="R68" s="18" t="s">
        <v>24</v>
      </c>
      <c r="S68" s="24">
        <v>0</v>
      </c>
    </row>
    <row r="69" spans="1:19">
      <c r="A69" s="26" t="s">
        <v>121</v>
      </c>
      <c r="B69" s="88" t="s">
        <v>122</v>
      </c>
      <c r="C69" s="89"/>
      <c r="D69" s="90"/>
      <c r="E69" s="12"/>
      <c r="F69" s="30">
        <v>0</v>
      </c>
      <c r="G69" s="31" t="s">
        <v>53</v>
      </c>
      <c r="H69" s="31"/>
      <c r="I69" s="30"/>
      <c r="J69" s="49" t="s">
        <v>24</v>
      </c>
      <c r="K69" s="50" t="s">
        <v>24</v>
      </c>
      <c r="L69" s="31"/>
      <c r="M69" s="31"/>
      <c r="N69" s="31"/>
      <c r="O69" s="31"/>
      <c r="P69" s="31"/>
      <c r="Q69" s="51" t="s">
        <v>123</v>
      </c>
      <c r="R69" s="52" t="s">
        <v>37</v>
      </c>
      <c r="S69" s="34">
        <v>0</v>
      </c>
    </row>
    <row r="70" spans="1:19">
      <c r="A70" s="26"/>
      <c r="B70" s="27" t="s">
        <v>124</v>
      </c>
      <c r="C70" s="28"/>
      <c r="D70" s="29"/>
      <c r="E70" s="12"/>
      <c r="F70" s="30"/>
      <c r="G70" s="27"/>
      <c r="H70" s="31"/>
      <c r="I70" s="30"/>
      <c r="J70" s="49"/>
      <c r="K70" s="50"/>
      <c r="L70" s="31"/>
      <c r="M70" s="31"/>
      <c r="N70" s="31"/>
      <c r="O70" s="31"/>
      <c r="P70" s="31"/>
      <c r="Q70" s="79"/>
      <c r="R70" s="52"/>
      <c r="S70" s="34"/>
    </row>
    <row r="71" spans="1:19">
      <c r="A71" s="11"/>
      <c r="B71" s="91" t="s">
        <v>125</v>
      </c>
      <c r="C71" s="92"/>
      <c r="D71" s="93"/>
      <c r="E71" s="53"/>
      <c r="F71" s="54">
        <v>960</v>
      </c>
      <c r="G71" s="54"/>
      <c r="H71" s="55">
        <v>64</v>
      </c>
      <c r="I71" s="56">
        <v>28</v>
      </c>
      <c r="J71" s="55">
        <v>0</v>
      </c>
      <c r="K71" s="56">
        <v>0</v>
      </c>
      <c r="L71" s="55">
        <f t="shared" ref="L71:Q71" si="3">SUM(L9:L69)</f>
        <v>133</v>
      </c>
      <c r="M71" s="55">
        <f t="shared" si="3"/>
        <v>132</v>
      </c>
      <c r="N71" s="55">
        <f t="shared" si="3"/>
        <v>157</v>
      </c>
      <c r="O71" s="55">
        <f t="shared" si="3"/>
        <v>152</v>
      </c>
      <c r="P71" s="55">
        <f t="shared" si="3"/>
        <v>152</v>
      </c>
      <c r="Q71" s="56">
        <f t="shared" si="3"/>
        <v>144</v>
      </c>
      <c r="R71" s="56">
        <v>0</v>
      </c>
      <c r="S71" s="57">
        <f>SUM(H71:Q71)</f>
        <v>962</v>
      </c>
    </row>
    <row r="72" spans="1:19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60"/>
    </row>
    <row r="73" spans="1:19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60"/>
    </row>
    <row r="74" spans="1:19">
      <c r="A74" s="61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1"/>
    </row>
  </sheetData>
  <mergeCells count="78">
    <mergeCell ref="A1:S1"/>
    <mergeCell ref="A2:B2"/>
    <mergeCell ref="D2:S2"/>
    <mergeCell ref="A3:B3"/>
    <mergeCell ref="D3:F3"/>
    <mergeCell ref="H3:K3"/>
    <mergeCell ref="L3:P3"/>
    <mergeCell ref="Q3:S3"/>
    <mergeCell ref="B12:D12"/>
    <mergeCell ref="A4:B4"/>
    <mergeCell ref="D4:F4"/>
    <mergeCell ref="H4:K4"/>
    <mergeCell ref="L4:S4"/>
    <mergeCell ref="A5:B5"/>
    <mergeCell ref="D5:F5"/>
    <mergeCell ref="H5:K5"/>
    <mergeCell ref="L5:S5"/>
    <mergeCell ref="A6:D6"/>
    <mergeCell ref="H6:S6"/>
    <mergeCell ref="B7:D7"/>
    <mergeCell ref="B8:D8"/>
    <mergeCell ref="B9:D9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36:D36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48:D48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62:D62"/>
    <mergeCell ref="B49:D49"/>
    <mergeCell ref="B50:D5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1:D71"/>
    <mergeCell ref="B63:D63"/>
    <mergeCell ref="B64:D64"/>
    <mergeCell ref="B65:D65"/>
    <mergeCell ref="B66:D66"/>
    <mergeCell ref="B67:D67"/>
    <mergeCell ref="B68:D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46F5-7411-4D64-9A9F-1E33623D34EB}">
  <dimension ref="A1:AD31"/>
  <sheetViews>
    <sheetView tabSelected="1" topLeftCell="C1" workbookViewId="0">
      <selection activeCell="P11" sqref="P11"/>
    </sheetView>
  </sheetViews>
  <sheetFormatPr defaultRowHeight="14.25"/>
  <cols>
    <col min="8" max="10" width="9.85546875" bestFit="1" customWidth="1"/>
    <col min="22" max="26" width="9.85546875" bestFit="1" customWidth="1"/>
    <col min="27" max="27" width="10.85546875" bestFit="1" customWidth="1"/>
  </cols>
  <sheetData>
    <row r="1" spans="1:30" ht="15" customHeight="1">
      <c r="A1" s="145" t="s">
        <v>11</v>
      </c>
      <c r="B1" s="146"/>
      <c r="C1" s="62"/>
      <c r="D1" s="147" t="s">
        <v>12</v>
      </c>
      <c r="E1" s="148"/>
      <c r="F1" s="148"/>
      <c r="G1" s="149"/>
      <c r="H1" s="150" t="s">
        <v>126</v>
      </c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2"/>
    </row>
    <row r="2" spans="1:30" ht="15" customHeight="1">
      <c r="A2" s="153" t="s">
        <v>127</v>
      </c>
      <c r="B2" s="154"/>
      <c r="C2" s="154"/>
      <c r="D2" s="154"/>
      <c r="E2" s="154"/>
      <c r="F2" s="155"/>
      <c r="G2" s="156" t="s">
        <v>128</v>
      </c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7"/>
    </row>
    <row r="3" spans="1:30">
      <c r="A3" s="26"/>
      <c r="B3" s="91" t="s">
        <v>129</v>
      </c>
      <c r="C3" s="92"/>
      <c r="D3" s="92"/>
      <c r="E3" s="92"/>
      <c r="F3" s="93"/>
      <c r="G3" s="86" t="s">
        <v>130</v>
      </c>
      <c r="H3" s="87" t="s">
        <v>131</v>
      </c>
      <c r="I3" s="87" t="s">
        <v>132</v>
      </c>
      <c r="J3" s="87" t="s">
        <v>133</v>
      </c>
      <c r="K3" s="87" t="s">
        <v>134</v>
      </c>
      <c r="L3" s="87" t="s">
        <v>135</v>
      </c>
      <c r="M3" s="87" t="s">
        <v>136</v>
      </c>
      <c r="N3" s="87" t="s">
        <v>137</v>
      </c>
      <c r="O3" s="87" t="s">
        <v>138</v>
      </c>
      <c r="P3" s="87" t="s">
        <v>139</v>
      </c>
      <c r="Q3" s="87" t="s">
        <v>140</v>
      </c>
      <c r="R3" s="87" t="s">
        <v>141</v>
      </c>
      <c r="S3" s="87" t="s">
        <v>142</v>
      </c>
      <c r="T3" s="87" t="s">
        <v>143</v>
      </c>
      <c r="U3" s="87" t="s">
        <v>144</v>
      </c>
      <c r="V3" s="87" t="s">
        <v>145</v>
      </c>
      <c r="W3" s="87" t="s">
        <v>146</v>
      </c>
      <c r="X3" s="87" t="s">
        <v>147</v>
      </c>
      <c r="Y3" s="87" t="s">
        <v>148</v>
      </c>
      <c r="Z3" s="87" t="s">
        <v>149</v>
      </c>
      <c r="AA3" s="87" t="s">
        <v>150</v>
      </c>
      <c r="AB3" s="81" t="e">
        <v>#REF!</v>
      </c>
      <c r="AC3" s="54" t="e">
        <v>#REF!</v>
      </c>
      <c r="AD3" s="34" t="s">
        <v>151</v>
      </c>
    </row>
    <row r="4" spans="1:30" ht="15">
      <c r="A4" s="20"/>
      <c r="B4" s="94" t="s">
        <v>10</v>
      </c>
      <c r="C4" s="95"/>
      <c r="D4" s="95"/>
      <c r="E4" s="95"/>
      <c r="F4" s="96"/>
      <c r="G4" s="82"/>
      <c r="H4" s="21"/>
      <c r="I4" s="21"/>
      <c r="J4" s="21"/>
      <c r="K4" s="21">
        <v>12.5</v>
      </c>
      <c r="L4" s="21">
        <v>6</v>
      </c>
      <c r="M4" s="21"/>
      <c r="N4" s="21"/>
      <c r="O4" s="21">
        <v>26</v>
      </c>
      <c r="P4" s="21">
        <v>21</v>
      </c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82"/>
      <c r="AC4" s="12"/>
      <c r="AD4" s="63">
        <f>SUM(G4:AC4)</f>
        <v>65.5</v>
      </c>
    </row>
    <row r="5" spans="1:30" ht="15">
      <c r="A5" s="20"/>
      <c r="B5" s="94" t="s">
        <v>152</v>
      </c>
      <c r="C5" s="95"/>
      <c r="D5" s="95"/>
      <c r="E5" s="95"/>
      <c r="F5" s="96"/>
      <c r="G5" s="82"/>
      <c r="H5" s="21"/>
      <c r="I5" s="21"/>
      <c r="J5" s="21"/>
      <c r="K5" s="21">
        <v>9</v>
      </c>
      <c r="L5" s="21">
        <v>5</v>
      </c>
      <c r="M5" s="21"/>
      <c r="N5" s="21"/>
      <c r="O5" s="21">
        <v>20</v>
      </c>
      <c r="P5" s="21">
        <v>20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82"/>
      <c r="AC5" s="12"/>
      <c r="AD5" s="63">
        <f>SUM(G5:AC5)</f>
        <v>54</v>
      </c>
    </row>
    <row r="6" spans="1:30" ht="15">
      <c r="A6" s="20"/>
      <c r="B6" s="94" t="s">
        <v>153</v>
      </c>
      <c r="C6" s="95"/>
      <c r="D6" s="95"/>
      <c r="E6" s="95"/>
      <c r="F6" s="96"/>
      <c r="G6" s="82"/>
      <c r="H6" s="21"/>
      <c r="I6" s="21"/>
      <c r="J6" s="21"/>
      <c r="K6" s="21">
        <v>13</v>
      </c>
      <c r="L6" s="21">
        <v>6</v>
      </c>
      <c r="M6" s="21"/>
      <c r="N6" s="21"/>
      <c r="O6" s="21">
        <v>24</v>
      </c>
      <c r="P6" s="21">
        <v>26</v>
      </c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82"/>
      <c r="AC6" s="12"/>
      <c r="AD6" s="63">
        <f>SUM(G6:AC6)</f>
        <v>69</v>
      </c>
    </row>
    <row r="7" spans="1:30" ht="15">
      <c r="A7" s="20"/>
      <c r="B7" s="94" t="s">
        <v>154</v>
      </c>
      <c r="C7" s="95"/>
      <c r="D7" s="95"/>
      <c r="E7" s="95"/>
      <c r="F7" s="96"/>
      <c r="G7" s="82"/>
      <c r="H7" s="21"/>
      <c r="I7" s="21"/>
      <c r="J7" s="21"/>
      <c r="K7" s="21">
        <v>12.5</v>
      </c>
      <c r="L7" s="21">
        <v>2</v>
      </c>
      <c r="M7" s="21"/>
      <c r="N7" s="21"/>
      <c r="O7" s="21">
        <v>23</v>
      </c>
      <c r="P7" s="21">
        <v>17</v>
      </c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82"/>
      <c r="AC7" s="12"/>
      <c r="AD7" s="63">
        <f>SUM(G7:AC7)</f>
        <v>54.5</v>
      </c>
    </row>
    <row r="8" spans="1:30" ht="15">
      <c r="A8" s="20"/>
      <c r="B8" s="94" t="s">
        <v>155</v>
      </c>
      <c r="C8" s="95"/>
      <c r="D8" s="95"/>
      <c r="E8" s="95"/>
      <c r="F8" s="96"/>
      <c r="G8" s="82"/>
      <c r="H8" s="21"/>
      <c r="I8" s="21"/>
      <c r="J8" s="21"/>
      <c r="K8" s="21">
        <v>13</v>
      </c>
      <c r="L8" s="21">
        <v>3</v>
      </c>
      <c r="M8" s="21"/>
      <c r="N8" s="21"/>
      <c r="O8" s="21">
        <v>24</v>
      </c>
      <c r="P8" s="21">
        <v>23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82"/>
      <c r="AC8" s="12"/>
      <c r="AD8" s="63">
        <f>SUM(G8:AC8)</f>
        <v>63</v>
      </c>
    </row>
    <row r="9" spans="1:30" ht="15">
      <c r="A9" s="20"/>
      <c r="B9" s="94" t="s">
        <v>156</v>
      </c>
      <c r="C9" s="95"/>
      <c r="D9" s="95"/>
      <c r="E9" s="95"/>
      <c r="F9" s="96"/>
      <c r="G9" s="84"/>
      <c r="H9" s="85"/>
      <c r="I9" s="85"/>
      <c r="J9" s="85"/>
      <c r="K9" s="85">
        <v>4</v>
      </c>
      <c r="L9" s="85">
        <v>6</v>
      </c>
      <c r="M9" s="85"/>
      <c r="N9" s="85"/>
      <c r="O9" s="85">
        <v>16</v>
      </c>
      <c r="P9" s="85">
        <v>25</v>
      </c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2"/>
      <c r="AC9" s="12"/>
      <c r="AD9" s="63">
        <f>SUM(G9:AC9)</f>
        <v>51</v>
      </c>
    </row>
    <row r="10" spans="1:30" ht="15">
      <c r="A10" s="20"/>
      <c r="B10" s="94"/>
      <c r="C10" s="95"/>
      <c r="D10" s="95"/>
      <c r="E10" s="95"/>
      <c r="F10" s="96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12"/>
      <c r="AD10" s="63">
        <f>SUM(G10:AC10)</f>
        <v>0</v>
      </c>
    </row>
    <row r="11" spans="1:30" ht="15">
      <c r="A11" s="20"/>
      <c r="B11" s="94"/>
      <c r="C11" s="95"/>
      <c r="D11" s="95"/>
      <c r="E11" s="95"/>
      <c r="F11" s="9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12"/>
      <c r="AD11" s="63">
        <v>0</v>
      </c>
    </row>
    <row r="12" spans="1:30" ht="15">
      <c r="A12" s="20"/>
      <c r="B12" s="94"/>
      <c r="C12" s="95"/>
      <c r="D12" s="95"/>
      <c r="E12" s="95"/>
      <c r="F12" s="96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12"/>
      <c r="AD12" s="63">
        <v>0</v>
      </c>
    </row>
    <row r="13" spans="1:30" ht="15">
      <c r="A13" s="20"/>
      <c r="B13" s="94"/>
      <c r="C13" s="95"/>
      <c r="D13" s="95"/>
      <c r="E13" s="95"/>
      <c r="F13" s="96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12"/>
      <c r="AD13" s="63">
        <v>0</v>
      </c>
    </row>
    <row r="14" spans="1:30" ht="15">
      <c r="A14" s="20"/>
      <c r="B14" s="94"/>
      <c r="C14" s="95"/>
      <c r="D14" s="95"/>
      <c r="E14" s="95"/>
      <c r="F14" s="96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12"/>
      <c r="AD14" s="63">
        <v>0</v>
      </c>
    </row>
    <row r="15" spans="1:30" ht="15">
      <c r="A15" s="20"/>
      <c r="B15" s="94"/>
      <c r="C15" s="95"/>
      <c r="D15" s="95"/>
      <c r="E15" s="95"/>
      <c r="F15" s="96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2"/>
      <c r="AD15" s="63">
        <v>0</v>
      </c>
    </row>
    <row r="16" spans="1:30" ht="15">
      <c r="A16" s="20"/>
      <c r="B16" s="94"/>
      <c r="C16" s="95"/>
      <c r="D16" s="95"/>
      <c r="E16" s="95"/>
      <c r="F16" s="96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12"/>
      <c r="AD16" s="63">
        <v>0</v>
      </c>
    </row>
    <row r="17" spans="1:30" ht="15">
      <c r="A17" s="20"/>
      <c r="B17" s="94"/>
      <c r="C17" s="95"/>
      <c r="D17" s="95"/>
      <c r="E17" s="95"/>
      <c r="F17" s="96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12"/>
      <c r="AD17" s="63">
        <v>0</v>
      </c>
    </row>
    <row r="18" spans="1:30" ht="15">
      <c r="A18" s="20"/>
      <c r="B18" s="94"/>
      <c r="C18" s="95"/>
      <c r="D18" s="95"/>
      <c r="E18" s="95"/>
      <c r="F18" s="96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12"/>
      <c r="AD18" s="63">
        <v>0</v>
      </c>
    </row>
    <row r="19" spans="1:30" ht="15">
      <c r="A19" s="20"/>
      <c r="B19" s="94"/>
      <c r="C19" s="95"/>
      <c r="D19" s="95"/>
      <c r="E19" s="95"/>
      <c r="F19" s="96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12"/>
      <c r="AD19" s="63">
        <v>0</v>
      </c>
    </row>
    <row r="20" spans="1:30" ht="15">
      <c r="A20" s="20"/>
      <c r="B20" s="94"/>
      <c r="C20" s="95"/>
      <c r="D20" s="95"/>
      <c r="E20" s="95"/>
      <c r="F20" s="96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12"/>
      <c r="AD20" s="63">
        <v>0</v>
      </c>
    </row>
    <row r="21" spans="1:30" ht="15">
      <c r="A21" s="20"/>
      <c r="B21" s="94"/>
      <c r="C21" s="95"/>
      <c r="D21" s="95"/>
      <c r="E21" s="95"/>
      <c r="F21" s="96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2"/>
      <c r="AD21" s="63">
        <v>0</v>
      </c>
    </row>
    <row r="22" spans="1:30" ht="15">
      <c r="A22" s="20"/>
      <c r="B22" s="94"/>
      <c r="C22" s="95"/>
      <c r="D22" s="95"/>
      <c r="E22" s="95"/>
      <c r="F22" s="96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12"/>
      <c r="AD22" s="63">
        <v>0</v>
      </c>
    </row>
    <row r="23" spans="1:30" ht="15">
      <c r="A23" s="20"/>
      <c r="B23" s="94"/>
      <c r="C23" s="95"/>
      <c r="D23" s="95"/>
      <c r="E23" s="95"/>
      <c r="F23" s="96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12"/>
      <c r="AD23" s="63">
        <v>0</v>
      </c>
    </row>
    <row r="24" spans="1:30" ht="15">
      <c r="A24" s="20"/>
      <c r="B24" s="94"/>
      <c r="C24" s="95"/>
      <c r="D24" s="95"/>
      <c r="E24" s="95"/>
      <c r="F24" s="96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2"/>
      <c r="AD24" s="63">
        <v>0</v>
      </c>
    </row>
    <row r="25" spans="1:30" ht="15">
      <c r="A25" s="20"/>
      <c r="B25" s="94"/>
      <c r="C25" s="95"/>
      <c r="D25" s="95"/>
      <c r="E25" s="95"/>
      <c r="F25" s="96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12"/>
      <c r="AD25" s="63">
        <v>0</v>
      </c>
    </row>
    <row r="26" spans="1:30" ht="15">
      <c r="A26" s="20"/>
      <c r="B26" s="94"/>
      <c r="C26" s="95"/>
      <c r="D26" s="95"/>
      <c r="E26" s="95"/>
      <c r="F26" s="9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12"/>
      <c r="AD26" s="63">
        <v>0</v>
      </c>
    </row>
    <row r="27" spans="1:30" ht="15">
      <c r="A27" s="20"/>
      <c r="B27" s="94"/>
      <c r="C27" s="95"/>
      <c r="D27" s="95"/>
      <c r="E27" s="95"/>
      <c r="F27" s="9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2"/>
      <c r="AD27" s="63">
        <v>0</v>
      </c>
    </row>
    <row r="28" spans="1:30" ht="15">
      <c r="A28" s="20"/>
      <c r="B28" s="94"/>
      <c r="C28" s="95"/>
      <c r="D28" s="95"/>
      <c r="E28" s="95"/>
      <c r="F28" s="9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12"/>
      <c r="AD28" s="63">
        <v>0</v>
      </c>
    </row>
    <row r="29" spans="1:30" ht="15">
      <c r="A29" s="26"/>
      <c r="B29" s="88"/>
      <c r="C29" s="89"/>
      <c r="D29" s="89"/>
      <c r="E29" s="89"/>
      <c r="F29" s="90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0"/>
      <c r="AD29" s="64">
        <v>0</v>
      </c>
    </row>
    <row r="30" spans="1:30" ht="15">
      <c r="A30" s="26"/>
      <c r="B30" s="91" t="s">
        <v>125</v>
      </c>
      <c r="C30" s="92"/>
      <c r="D30" s="92"/>
      <c r="E30" s="92"/>
      <c r="F30" s="144"/>
      <c r="G30" s="65">
        <v>0</v>
      </c>
      <c r="H30" s="65">
        <v>0</v>
      </c>
      <c r="I30" s="65">
        <v>0</v>
      </c>
      <c r="J30" s="65">
        <v>0</v>
      </c>
      <c r="K30" s="65">
        <f>SUM(K4:K9)</f>
        <v>64</v>
      </c>
      <c r="L30" s="65">
        <f>SUM(L4:L9)</f>
        <v>28</v>
      </c>
      <c r="M30" s="65">
        <v>0</v>
      </c>
      <c r="N30" s="65">
        <v>0</v>
      </c>
      <c r="O30" s="65">
        <f>SUM(O4:O29)</f>
        <v>133</v>
      </c>
      <c r="P30" s="65">
        <f>SUM(P4:P29)</f>
        <v>132</v>
      </c>
      <c r="Q30" s="65">
        <f>SUM(Q4:Q29)</f>
        <v>0</v>
      </c>
      <c r="R30" s="65">
        <f>SUM(R4:R29)</f>
        <v>0</v>
      </c>
      <c r="S30" s="65">
        <f>SUM(S4:S29)</f>
        <v>0</v>
      </c>
      <c r="T30" s="65">
        <f>SUM(T4:T29)</f>
        <v>0</v>
      </c>
      <c r="U30" s="65">
        <f>SUM(U4:U29)</f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6">
        <v>0</v>
      </c>
      <c r="AD30" s="64">
        <f>SUM(G30:AC30)</f>
        <v>357</v>
      </c>
    </row>
    <row r="31" spans="1:30" ht="15">
      <c r="A31" s="61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1"/>
    </row>
  </sheetData>
  <mergeCells count="33">
    <mergeCell ref="B9:F9"/>
    <mergeCell ref="A1:B1"/>
    <mergeCell ref="D1:G1"/>
    <mergeCell ref="H1:AD1"/>
    <mergeCell ref="A2:F2"/>
    <mergeCell ref="G2:AD2"/>
    <mergeCell ref="B3:F3"/>
    <mergeCell ref="B4:F4"/>
    <mergeCell ref="B5:F5"/>
    <mergeCell ref="B6:F6"/>
    <mergeCell ref="B7:F7"/>
    <mergeCell ref="B8:F8"/>
    <mergeCell ref="B21:F21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8:F28"/>
    <mergeCell ref="B29:F29"/>
    <mergeCell ref="B30:F30"/>
    <mergeCell ref="B22:F22"/>
    <mergeCell ref="B23:F23"/>
    <mergeCell ref="B24:F24"/>
    <mergeCell ref="B25:F25"/>
    <mergeCell ref="B26:F26"/>
    <mergeCell ref="B27:F2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2024-10-11T06:20:54Z</dcterms:created>
  <dcterms:modified xsi:type="dcterms:W3CDTF">2024-11-18T14:27:49Z</dcterms:modified>
  <cp:category/>
  <cp:contentStatus/>
</cp:coreProperties>
</file>