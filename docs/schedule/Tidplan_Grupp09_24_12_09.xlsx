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8_{35E00172-A8AF-4977-8E01-EF71DE3DE3F3}" xr6:coauthVersionLast="47" xr6:coauthVersionMax="47" xr10:uidLastSave="{00000000-0000-0000-0000-000000000000}"/>
  <bookViews>
    <workbookView xWindow="-120" yWindow="-120" windowWidth="29040" windowHeight="17520" firstSheet="1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S4" i="2"/>
  <c r="S8" i="2"/>
  <c r="S7" i="2"/>
  <c r="S5" i="2"/>
  <c r="S9" i="2"/>
  <c r="R9" i="2"/>
  <c r="R5" i="2"/>
  <c r="R7" i="2"/>
  <c r="R6" i="2"/>
  <c r="R8" i="2"/>
  <c r="R4" i="2"/>
  <c r="S47" i="1"/>
  <c r="AD6" i="2"/>
  <c r="AD10" i="2"/>
  <c r="AD9" i="2"/>
  <c r="AD8" i="2"/>
  <c r="AD7" i="2"/>
  <c r="AD5" i="2"/>
  <c r="AD4" i="2"/>
  <c r="U30" i="2"/>
  <c r="T30" i="2"/>
  <c r="S30" i="2"/>
  <c r="R30" i="2"/>
  <c r="Q30" i="2"/>
  <c r="P30" i="2"/>
  <c r="O30" i="2"/>
  <c r="L30" i="2"/>
  <c r="K30" i="2"/>
  <c r="S52" i="1"/>
  <c r="S51" i="1" s="1"/>
  <c r="S50" i="1"/>
  <c r="S49" i="1"/>
  <c r="S48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71" i="1" l="1"/>
  <c r="AD30" i="2"/>
  <c r="S19" i="1"/>
  <c r="S45" i="1"/>
</calcChain>
</file>

<file path=xl/sharedStrings.xml><?xml version="1.0" encoding="utf-8"?>
<sst xmlns="http://schemas.openxmlformats.org/spreadsheetml/2006/main" count="356" uniqueCount="156">
  <si>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</si>
  <si>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</si>
  <si>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</si>
  <si>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</si>
  <si>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</si>
  <si>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</si>
  <si>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</si>
  <si>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</si>
  <si>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</si>
  <si>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1.8</t>
  </si>
  <si>
    <t>Samuel Tuvstedt</t>
  </si>
  <si>
    <t>Kurs:</t>
  </si>
  <si>
    <t>TSEA29</t>
  </si>
  <si>
    <t>Utfärdare: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</si>
  <si>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</si>
  <si>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</si>
  <si>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</si>
  <si>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</si>
  <si>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</si>
  <si>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</si>
  <si>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</si>
  <si>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</si>
  <si>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</si>
  <si>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</si>
  <si>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</si>
  <si>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</si>
  <si>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</si>
  <si>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</si>
  <si>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</si>
  <si>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</si>
  <si>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</si>
  <si>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</si>
  <si>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</si>
  <si>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</si>
  <si>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</si>
  <si>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</si>
  <si>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</si>
  <si>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</si>
  <si>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</si>
  <si>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</si>
  <si>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</si>
  <si>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</si>
  <si>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</si>
  <si>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</si>
  <si>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</si>
  <si>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</si>
  <si>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</si>
  <si>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</si>
  <si>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</si>
  <si>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</si>
  <si>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</si>
  <si>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</si>
  <si>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</si>
  <si>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</si>
  <si>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</si>
  <si>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</si>
  <si>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</si>
  <si>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</si>
  <si>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</si>
  <si>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</si>
  <si>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</si>
  <si>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</si>
  <si>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</si>
  <si>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</si>
  <si>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</si>
  <si>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</si>
  <si>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</si>
  <si>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</si>
  <si>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</si>
  <si>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</si>
  <si>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</si>
  <si>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</si>
  <si>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</si>
  <si>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</si>
  <si>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</si>
  <si>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</si>
  <si>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</si>
  <si>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</si>
  <si>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</si>
  <si>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</si>
  <si>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</si>
  <si>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</si>
  <si>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</si>
  <si>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</si>
  <si>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</si>
  <si>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</si>
  <si>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</si>
  <si>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</si>
  <si>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</si>
  <si>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</si>
  <si>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</si>
  <si>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</si>
  <si>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</si>
  <si>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</si>
  <si>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</si>
  <si>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</si>
  <si>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</si>
  <si>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</si>
  <si>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</si>
  <si>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</si>
  <si>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</si>
  <si>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</si>
  <si>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</si>
  <si>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</si>
  <si>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</si>
  <si>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</si>
  <si>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</si>
  <si>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</si>
  <si>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</si>
  <si>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</si>
  <si>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</si>
  <si>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</si>
  <si>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</si>
  <si>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</si>
  <si>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</si>
  <si>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</si>
  <si>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</si>
  <si>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</si>
  <si>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</si>
  <si>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</si>
  <si>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</si>
  <si>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</si>
  <si>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</si>
  <si>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Fre</t>
  </si>
  <si>
    <t>Bilens styralgoritm är klar</t>
  </si>
  <si>
    <t>Summa antal timmar:</t>
  </si>
  <si>
    <t>RESURS</t>
  </si>
  <si>
    <t>NEDLAGD TID (per vecka)</t>
  </si>
  <si>
    <t>Namn</t>
  </si>
  <si>
    <t>#REF!</t>
  </si>
  <si>
    <t>#REF!2</t>
  </si>
  <si>
    <t>#REF!3</t>
  </si>
  <si>
    <t>#REF!4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</si>
  <si>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</si>
  <si>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</si>
  <si>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</si>
  <si>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</si>
  <si>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</si>
  <si>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</si>
  <si>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</si>
  <si>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</si>
  <si>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</si>
  <si>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</si>
  <si>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</si>
  <si>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#REF!5</t>
  </si>
  <si>
    <t>#REF!6</t>
  </si>
  <si>
    <t>#REF!7</t>
  </si>
  <si>
    <t>#REF!8</t>
  </si>
  <si>
    <t>#REF!9</t>
  </si>
  <si>
    <t>#REF!10</t>
  </si>
  <si>
    <t>Sa</t>
  </si>
  <si>
    <t>Alfred Sjöqvist</t>
  </si>
  <si>
    <t>Axel Nyström</t>
  </si>
  <si>
    <t>Rikard Ågren</t>
  </si>
  <si>
    <t>Gustaf Sjögemark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</si>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</sst>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3" fillId="11" borderId="42" xfId="0" applyFont="1" applyFill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3" borderId="45" xfId="0" applyFont="1" applyFill="1" applyBorder="1" applyAlignment="1">
      <alignment readingOrder="1"/>
    </xf>
    <xf numFmtId="0" fontId="3" fillId="3" borderId="46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ck">
          <color rgb="FF000000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C0C0C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EF558-4920-43B2-A86E-71DA31BE70BF}" name="Table6" displayName="Table6" ref="G3:AA9" totalsRowShown="0" headerRowDxfId="25" dataDxfId="24" headerRowBorderDxfId="22" tableBorderDxfId="23" totalsRowBorderDxfId="21">
  <autoFilter ref="G3:AA9" xr:uid="{6E8EF558-4920-43B2-A86E-71DA31BE70BF}"/>
  <tableColumns count="21">
    <tableColumn id="1" xr3:uid="{0190B7E7-3378-413F-9F91-020710C625DF}" name="#REF!" dataDxfId="20"/>
    <tableColumn id="2" xr3:uid="{BBBC4B6D-9590-4B6E-A39F-FF703F57AB44}" name="#REF!2" dataDxfId="19"/>
    <tableColumn id="3" xr3:uid="{EB4B4CBB-6FF1-433C-93AD-6DA20B2CAD8D}" name="#REF!3" dataDxfId="18"/>
    <tableColumn id="4" xr3:uid="{052EE063-3122-41F0-A2E9-6930807C08EC}" name="#REF!4" dataDxfId="17"/>
    <tableColumn id="5" xr3:uid="{D03F27B0-4D35-4A02-807F-61D791552100}" name="41" dataDxfId="16"/>
    <tableColumn id="6" xr3:uid="{D28B5A22-696C-4702-937A-23D8C4B0F2F0}" name="42" dataDxfId="15"/>
    <tableColumn id="7" xr3:uid="{47711C88-4614-4E71-8B59-0AB6894D6E3E}" name="43" dataDxfId="14"/>
    <tableColumn id="8" xr3:uid="{8FEFE10D-1685-456E-8AA8-0DA7B686CBCF}" name="44" dataDxfId="13"/>
    <tableColumn id="9" xr3:uid="{FE6E93EA-76B5-439C-A4B5-5AEDA0D20865}" name="45" dataDxfId="12"/>
    <tableColumn id="10" xr3:uid="{25342970-2050-4AA8-AE2E-0CCC977FC21E}" name="46" dataDxfId="11"/>
    <tableColumn id="11" xr3:uid="{D3757E74-1172-4FA8-B85E-26B498EE6268}" name="47" dataDxfId="10"/>
    <tableColumn id="12" xr3:uid="{84912CF7-D9E3-498D-814D-5464C46A0F8E}" name="48" dataDxfId="9"/>
    <tableColumn id="13" xr3:uid="{3594F1D5-C6C9-4949-8420-54F3DA5E2DF0}" name="49" dataDxfId="8"/>
    <tableColumn id="14" xr3:uid="{B76A45D2-54F6-483E-979F-067CD70187B3}" name="50" dataDxfId="7"/>
    <tableColumn id="15" xr3:uid="{B0344BC1-4811-4D8E-A2DF-69E9B86F34FA}" name="51" dataDxfId="6"/>
    <tableColumn id="16" xr3:uid="{89F178C9-C6B0-4E28-AB0B-DBAB2985325B}" name="#REF!5" dataDxfId="5"/>
    <tableColumn id="17" xr3:uid="{D373A938-FEC6-4CA5-99C9-9849682D8301}" name="#REF!6" dataDxfId="4"/>
    <tableColumn id="18" xr3:uid="{14EEA7AC-9E81-4DCD-9BFB-8E741E3025FE}" name="#REF!7" dataDxfId="3"/>
    <tableColumn id="19" xr3:uid="{026459D7-5580-4D08-9C3E-CFC0A396616C}" name="#REF!8" dataDxfId="2"/>
    <tableColumn id="20" xr3:uid="{8FBE6DCE-0740-4553-8B9F-ED822DB5C262}" name="#REF!9" dataDxfId="1"/>
    <tableColumn id="21" xr3:uid="{31460DA5-2843-4A91-9F65-EF2735388374}" name="#REF!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B43" workbookViewId="0">
      <selection activeCell="Q50" sqref="Q50"/>
    </sheetView>
  </sheetViews>
  <sheetFormatPr defaultRowHeight="14.25"/>
  <sheetData>
    <row r="1" spans="1:19" ht="15.7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4"/>
    </row>
    <row r="2" spans="1:19">
      <c r="A2" s="135" t="s">
        <v>1</v>
      </c>
      <c r="B2" s="136"/>
      <c r="C2" s="1"/>
      <c r="D2" s="137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</row>
    <row r="3" spans="1:19">
      <c r="A3" s="112" t="s">
        <v>2</v>
      </c>
      <c r="B3" s="113"/>
      <c r="C3" s="2"/>
      <c r="D3" s="114" t="s">
        <v>3</v>
      </c>
      <c r="E3" s="115"/>
      <c r="F3" s="116"/>
      <c r="G3" s="3" t="s">
        <v>4</v>
      </c>
      <c r="H3" s="140">
        <v>45635</v>
      </c>
      <c r="I3" s="115"/>
      <c r="J3" s="115"/>
      <c r="K3" s="116"/>
      <c r="L3" s="141" t="s">
        <v>5</v>
      </c>
      <c r="M3" s="142"/>
      <c r="N3" s="142"/>
      <c r="O3" s="142"/>
      <c r="P3" s="143"/>
      <c r="Q3" s="117"/>
      <c r="R3" s="118"/>
      <c r="S3" s="119"/>
    </row>
    <row r="4" spans="1:19">
      <c r="A4" s="112" t="s">
        <v>6</v>
      </c>
      <c r="B4" s="113"/>
      <c r="C4" s="2"/>
      <c r="D4" s="114" t="s">
        <v>7</v>
      </c>
      <c r="E4" s="115"/>
      <c r="F4" s="116"/>
      <c r="G4" s="3" t="s">
        <v>8</v>
      </c>
      <c r="H4" s="114" t="s">
        <v>9</v>
      </c>
      <c r="I4" s="115"/>
      <c r="J4" s="115"/>
      <c r="K4" s="116"/>
      <c r="L4" s="117" t="s">
        <v>10</v>
      </c>
      <c r="M4" s="118"/>
      <c r="N4" s="118"/>
      <c r="O4" s="118"/>
      <c r="P4" s="118"/>
      <c r="Q4" s="118"/>
      <c r="R4" s="118"/>
      <c r="S4" s="119"/>
    </row>
    <row r="5" spans="1:19">
      <c r="A5" s="120" t="s">
        <v>11</v>
      </c>
      <c r="B5" s="121"/>
      <c r="C5" s="4"/>
      <c r="D5" s="91" t="s">
        <v>12</v>
      </c>
      <c r="E5" s="92"/>
      <c r="F5" s="93"/>
      <c r="G5" s="5" t="s">
        <v>13</v>
      </c>
      <c r="H5" s="122" t="s">
        <v>10</v>
      </c>
      <c r="I5" s="92"/>
      <c r="J5" s="92"/>
      <c r="K5" s="93"/>
      <c r="L5" s="91"/>
      <c r="M5" s="92"/>
      <c r="N5" s="92"/>
      <c r="O5" s="92"/>
      <c r="P5" s="92"/>
      <c r="Q5" s="92"/>
      <c r="R5" s="92"/>
      <c r="S5" s="123"/>
    </row>
    <row r="6" spans="1:19" ht="15">
      <c r="A6" s="124" t="s">
        <v>14</v>
      </c>
      <c r="B6" s="125"/>
      <c r="C6" s="125"/>
      <c r="D6" s="126"/>
      <c r="E6" s="6"/>
      <c r="F6" s="7" t="s">
        <v>15</v>
      </c>
      <c r="G6" s="7" t="s">
        <v>16</v>
      </c>
      <c r="H6" s="127" t="s">
        <v>17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8"/>
    </row>
    <row r="7" spans="1:19">
      <c r="A7" s="8" t="s">
        <v>18</v>
      </c>
      <c r="B7" s="129" t="s">
        <v>19</v>
      </c>
      <c r="C7" s="130"/>
      <c r="D7" s="131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00" t="s">
        <v>23</v>
      </c>
      <c r="C8" s="101"/>
      <c r="D8" s="107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40</v>
      </c>
    </row>
    <row r="9" spans="1:19">
      <c r="A9" s="20">
        <v>1</v>
      </c>
      <c r="B9" s="94" t="s">
        <v>26</v>
      </c>
      <c r="C9" s="95"/>
      <c r="D9" s="96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39">
        <v>0</v>
      </c>
      <c r="M9" s="22">
        <v>5</v>
      </c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20</v>
      </c>
      <c r="M10" s="21"/>
      <c r="N10" s="21"/>
      <c r="O10" s="21"/>
      <c r="P10" s="21"/>
      <c r="Q10" s="23"/>
      <c r="R10" s="18" t="s">
        <v>28</v>
      </c>
      <c r="S10" s="24">
        <f>SUM(L10:Q10)</f>
        <v>20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88" t="s">
        <v>35</v>
      </c>
      <c r="C12" s="89"/>
      <c r="D12" s="90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00" t="s">
        <v>38</v>
      </c>
      <c r="C13" s="101"/>
      <c r="D13" s="107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5</v>
      </c>
    </row>
    <row r="14" spans="1:19">
      <c r="A14" s="20">
        <v>5</v>
      </c>
      <c r="B14" s="94" t="s">
        <v>40</v>
      </c>
      <c r="C14" s="95"/>
      <c r="D14" s="96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39">
        <v>0</v>
      </c>
      <c r="M14" s="22">
        <v>5</v>
      </c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94" t="s">
        <v>42</v>
      </c>
      <c r="C15" s="95"/>
      <c r="D15" s="96"/>
      <c r="E15" s="12"/>
      <c r="F15" s="12">
        <v>5</v>
      </c>
      <c r="G15" s="21" t="s">
        <v>41</v>
      </c>
      <c r="H15" s="21"/>
      <c r="I15" s="12"/>
      <c r="J15" s="16"/>
      <c r="K15" s="17"/>
      <c r="L15" s="83">
        <v>0</v>
      </c>
      <c r="M15" s="21"/>
      <c r="N15" s="21"/>
      <c r="O15" s="21"/>
      <c r="P15" s="21"/>
      <c r="Q15" s="23"/>
      <c r="R15" s="18" t="s">
        <v>37</v>
      </c>
      <c r="S15" s="24">
        <f>SUM(L15:Q15)</f>
        <v>0</v>
      </c>
    </row>
    <row r="16" spans="1:19">
      <c r="A16" s="20">
        <v>7</v>
      </c>
      <c r="B16" s="94" t="s">
        <v>43</v>
      </c>
      <c r="C16" s="95"/>
      <c r="D16" s="96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0</v>
      </c>
      <c r="M16" s="21"/>
      <c r="N16" s="21"/>
      <c r="O16" s="21"/>
      <c r="P16" s="21"/>
      <c r="Q16" s="23"/>
      <c r="R16" s="18" t="s">
        <v>24</v>
      </c>
      <c r="S16" s="24">
        <f>SUM(L16:Q16)</f>
        <v>0</v>
      </c>
    </row>
    <row r="17" spans="1:19">
      <c r="A17" s="20">
        <v>8</v>
      </c>
      <c r="B17" s="94" t="s">
        <v>44</v>
      </c>
      <c r="C17" s="95"/>
      <c r="D17" s="96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0</v>
      </c>
      <c r="M17" s="21"/>
      <c r="N17" s="21"/>
      <c r="O17" s="21"/>
      <c r="P17" s="21"/>
      <c r="Q17" s="23"/>
      <c r="R17" s="18" t="s">
        <v>45</v>
      </c>
      <c r="S17" s="24">
        <f>SUM(L17:Q17)</f>
        <v>0</v>
      </c>
    </row>
    <row r="18" spans="1:19">
      <c r="A18" s="26">
        <v>9</v>
      </c>
      <c r="B18" s="88" t="s">
        <v>46</v>
      </c>
      <c r="C18" s="89"/>
      <c r="D18" s="90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0</v>
      </c>
      <c r="M18" s="31"/>
      <c r="N18" s="31"/>
      <c r="O18" s="31"/>
      <c r="P18" s="31"/>
      <c r="Q18" s="33"/>
      <c r="R18" s="18" t="s">
        <v>47</v>
      </c>
      <c r="S18" s="34">
        <f>SUM(L18:Q18)</f>
        <v>0</v>
      </c>
    </row>
    <row r="19" spans="1:19">
      <c r="A19" s="11"/>
      <c r="B19" s="100" t="s">
        <v>48</v>
      </c>
      <c r="C19" s="101"/>
      <c r="D19" s="107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431</v>
      </c>
    </row>
    <row r="20" spans="1:19">
      <c r="A20" s="20">
        <v>10</v>
      </c>
      <c r="B20" s="94" t="s">
        <v>49</v>
      </c>
      <c r="C20" s="95"/>
      <c r="D20" s="96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33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48</v>
      </c>
    </row>
    <row r="21" spans="1:19">
      <c r="A21" s="20">
        <v>11</v>
      </c>
      <c r="B21" s="94" t="s">
        <v>50</v>
      </c>
      <c r="C21" s="95"/>
      <c r="D21" s="96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16</v>
      </c>
      <c r="O21" s="21"/>
      <c r="P21" s="21"/>
      <c r="Q21" s="23"/>
      <c r="R21" s="18" t="s">
        <v>25</v>
      </c>
      <c r="S21" s="24">
        <f t="shared" si="0"/>
        <v>31</v>
      </c>
    </row>
    <row r="22" spans="1:19">
      <c r="A22" s="20">
        <v>12</v>
      </c>
      <c r="B22" s="94" t="s">
        <v>52</v>
      </c>
      <c r="C22" s="95"/>
      <c r="D22" s="96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70</v>
      </c>
      <c r="P22" s="39">
        <v>47.5</v>
      </c>
      <c r="Q22" s="22">
        <v>65.5</v>
      </c>
      <c r="R22" s="18" t="s">
        <v>29</v>
      </c>
      <c r="S22" s="24">
        <f t="shared" si="0"/>
        <v>203</v>
      </c>
    </row>
    <row r="23" spans="1:19">
      <c r="A23" s="20">
        <v>13</v>
      </c>
      <c r="B23" s="94" t="s">
        <v>54</v>
      </c>
      <c r="C23" s="95"/>
      <c r="D23" s="96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94" t="s">
        <v>55</v>
      </c>
      <c r="C24" s="95"/>
      <c r="D24" s="96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24</v>
      </c>
      <c r="O24" s="39">
        <v>35</v>
      </c>
      <c r="P24" s="22">
        <v>10</v>
      </c>
      <c r="Q24" s="23"/>
      <c r="R24" s="18" t="s">
        <v>34</v>
      </c>
      <c r="S24" s="24">
        <f t="shared" si="0"/>
        <v>69</v>
      </c>
    </row>
    <row r="25" spans="1:19">
      <c r="A25" s="20">
        <v>15</v>
      </c>
      <c r="B25" s="94" t="s">
        <v>56</v>
      </c>
      <c r="C25" s="95"/>
      <c r="D25" s="96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94" t="s">
        <v>57</v>
      </c>
      <c r="C26" s="95"/>
      <c r="D26" s="96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40</v>
      </c>
      <c r="P26" s="22">
        <v>15</v>
      </c>
      <c r="Q26" s="23"/>
      <c r="R26" s="18" t="s">
        <v>32</v>
      </c>
      <c r="S26" s="24">
        <f t="shared" si="0"/>
        <v>55</v>
      </c>
    </row>
    <row r="27" spans="1:19">
      <c r="A27" s="26">
        <v>17</v>
      </c>
      <c r="B27" s="88" t="s">
        <v>58</v>
      </c>
      <c r="C27" s="89"/>
      <c r="D27" s="90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00" t="s">
        <v>59</v>
      </c>
      <c r="C28" s="101"/>
      <c r="D28" s="107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60</v>
      </c>
    </row>
    <row r="29" spans="1:19" ht="15">
      <c r="A29" s="20">
        <v>18</v>
      </c>
      <c r="B29" s="94" t="s">
        <v>60</v>
      </c>
      <c r="C29" s="95"/>
      <c r="D29" s="108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39">
        <v>10</v>
      </c>
      <c r="M29" s="39">
        <v>10</v>
      </c>
      <c r="N29" s="22">
        <v>5</v>
      </c>
      <c r="O29" s="21"/>
      <c r="P29" s="21"/>
      <c r="Q29" s="23"/>
      <c r="R29" s="18" t="s">
        <v>24</v>
      </c>
      <c r="S29" s="24">
        <f>SUM(L29:Q29)</f>
        <v>25</v>
      </c>
    </row>
    <row r="30" spans="1:19" ht="15">
      <c r="A30" s="20">
        <v>19</v>
      </c>
      <c r="B30" s="97" t="s">
        <v>62</v>
      </c>
      <c r="C30" s="98"/>
      <c r="D30" s="99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21"/>
      <c r="N30" s="39">
        <v>5</v>
      </c>
      <c r="O30" s="22">
        <v>10</v>
      </c>
      <c r="P30" s="21"/>
      <c r="Q30" s="23"/>
      <c r="R30" s="18" t="s">
        <v>45</v>
      </c>
      <c r="S30" s="24">
        <f>SUM(L30:Q30)</f>
        <v>15</v>
      </c>
    </row>
    <row r="31" spans="1:19" ht="15">
      <c r="A31" s="26">
        <v>20</v>
      </c>
      <c r="B31" s="109" t="s">
        <v>63</v>
      </c>
      <c r="C31" s="110"/>
      <c r="D31" s="111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21"/>
      <c r="N31" s="41">
        <v>5</v>
      </c>
      <c r="O31" s="32">
        <v>15</v>
      </c>
      <c r="P31" s="31"/>
      <c r="Q31" s="33"/>
      <c r="R31" s="18" t="s">
        <v>47</v>
      </c>
      <c r="S31" s="34">
        <f>SUM(L31:Q31)</f>
        <v>20</v>
      </c>
    </row>
    <row r="32" spans="1:19" ht="15">
      <c r="A32" s="11"/>
      <c r="B32" s="100" t="s">
        <v>64</v>
      </c>
      <c r="C32" s="101"/>
      <c r="D32" s="107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 ht="15">
      <c r="A33" s="20">
        <v>21</v>
      </c>
      <c r="B33" s="94" t="s">
        <v>65</v>
      </c>
      <c r="C33" s="95"/>
      <c r="D33" s="108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 ht="15">
      <c r="A34" s="26">
        <v>22</v>
      </c>
      <c r="B34" s="88" t="s">
        <v>66</v>
      </c>
      <c r="C34" s="89"/>
      <c r="D34" s="90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2">
        <v>15</v>
      </c>
      <c r="O34" s="31"/>
      <c r="P34" s="21"/>
      <c r="Q34" s="33"/>
      <c r="R34" s="18" t="s">
        <v>25</v>
      </c>
      <c r="S34" s="34">
        <f>SUM(L34:Q34)</f>
        <v>15</v>
      </c>
    </row>
    <row r="35" spans="1:19" ht="15">
      <c r="A35" s="11"/>
      <c r="B35" s="100" t="s">
        <v>67</v>
      </c>
      <c r="C35" s="101"/>
      <c r="D35" s="107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ht="15">
      <c r="A36" s="20">
        <v>23</v>
      </c>
      <c r="B36" s="94" t="s">
        <v>68</v>
      </c>
      <c r="C36" s="95"/>
      <c r="D36" s="96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67">
        <v>10</v>
      </c>
      <c r="N36" s="22">
        <v>10</v>
      </c>
      <c r="O36" s="68"/>
      <c r="P36" s="21"/>
      <c r="Q36" s="23"/>
      <c r="R36" s="18" t="s">
        <v>28</v>
      </c>
      <c r="S36" s="24">
        <f>SUM(L36:Q36)</f>
        <v>40</v>
      </c>
    </row>
    <row r="37" spans="1:19" ht="15">
      <c r="A37" s="26">
        <v>24</v>
      </c>
      <c r="B37" s="88" t="s">
        <v>70</v>
      </c>
      <c r="C37" s="89"/>
      <c r="D37" s="106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9">
        <v>10</v>
      </c>
      <c r="N37" s="22">
        <v>15</v>
      </c>
      <c r="O37" s="69"/>
      <c r="P37" s="69"/>
      <c r="Q37" s="33"/>
      <c r="R37" s="18" t="s">
        <v>34</v>
      </c>
      <c r="S37" s="34">
        <f>SUM(L37:Q37)</f>
        <v>25</v>
      </c>
    </row>
    <row r="38" spans="1:19" ht="15">
      <c r="A38" s="11"/>
      <c r="B38" s="100" t="s">
        <v>71</v>
      </c>
      <c r="C38" s="101"/>
      <c r="D38" s="107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109.5</v>
      </c>
    </row>
    <row r="39" spans="1:19">
      <c r="A39" s="20">
        <v>25</v>
      </c>
      <c r="B39" s="94" t="s">
        <v>72</v>
      </c>
      <c r="C39" s="95"/>
      <c r="D39" s="96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10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25</v>
      </c>
    </row>
    <row r="40" spans="1:19">
      <c r="A40" s="20">
        <v>26</v>
      </c>
      <c r="B40" s="94" t="s">
        <v>74</v>
      </c>
      <c r="C40" s="95"/>
      <c r="D40" s="96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94" t="s">
        <v>76</v>
      </c>
      <c r="C41" s="95"/>
      <c r="D41" s="96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94" t="s">
        <v>78</v>
      </c>
      <c r="C42" s="95"/>
      <c r="D42" s="96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 ht="15">
      <c r="A43" s="20">
        <v>29</v>
      </c>
      <c r="B43" s="94" t="s">
        <v>79</v>
      </c>
      <c r="C43" s="95"/>
      <c r="D43" s="96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19.5</v>
      </c>
      <c r="P43" s="21"/>
      <c r="Q43" s="23"/>
      <c r="R43" s="18" t="s">
        <v>45</v>
      </c>
      <c r="S43" s="75">
        <f t="shared" si="1"/>
        <v>19.5</v>
      </c>
    </row>
    <row r="44" spans="1:19" ht="15">
      <c r="A44" s="26">
        <v>30</v>
      </c>
      <c r="B44" s="88" t="s">
        <v>80</v>
      </c>
      <c r="C44" s="89"/>
      <c r="D44" s="90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9">
        <v>5</v>
      </c>
      <c r="P44" s="32">
        <v>10</v>
      </c>
      <c r="Q44" s="33"/>
      <c r="R44" s="18" t="s">
        <v>47</v>
      </c>
      <c r="S44" s="75">
        <f t="shared" si="1"/>
        <v>15</v>
      </c>
    </row>
    <row r="45" spans="1:19" ht="15">
      <c r="A45" s="11"/>
      <c r="B45" s="100" t="s">
        <v>81</v>
      </c>
      <c r="C45" s="101"/>
      <c r="D45" s="102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219.5</v>
      </c>
    </row>
    <row r="46" spans="1:19">
      <c r="A46" s="20">
        <v>31</v>
      </c>
      <c r="B46" s="97" t="s">
        <v>82</v>
      </c>
      <c r="C46" s="98"/>
      <c r="D46" s="99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1</v>
      </c>
      <c r="M46" s="39">
        <v>2</v>
      </c>
      <c r="N46" s="39">
        <v>3</v>
      </c>
      <c r="O46" s="39">
        <v>2</v>
      </c>
      <c r="P46" s="22">
        <v>2</v>
      </c>
      <c r="Q46" s="23"/>
      <c r="R46" s="18"/>
      <c r="S46" s="75">
        <f t="shared" ref="S46:S50" si="2">SUM(L46:Q46)</f>
        <v>10</v>
      </c>
    </row>
    <row r="47" spans="1:19">
      <c r="A47" s="20">
        <v>32</v>
      </c>
      <c r="B47" s="103" t="s">
        <v>83</v>
      </c>
      <c r="C47" s="104"/>
      <c r="D47" s="105"/>
      <c r="E47" s="12"/>
      <c r="F47" s="12">
        <v>90</v>
      </c>
      <c r="G47" s="21" t="s">
        <v>53</v>
      </c>
      <c r="H47" s="39">
        <v>64</v>
      </c>
      <c r="I47" s="40">
        <v>28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>SUM(H47:Q47)</f>
        <v>92</v>
      </c>
    </row>
    <row r="48" spans="1:19">
      <c r="A48" s="20">
        <v>33</v>
      </c>
      <c r="B48" s="103" t="s">
        <v>84</v>
      </c>
      <c r="C48" s="104"/>
      <c r="D48" s="105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10</v>
      </c>
      <c r="Q48" s="40">
        <v>10</v>
      </c>
      <c r="R48" s="18" t="s">
        <v>29</v>
      </c>
      <c r="S48" s="75">
        <f t="shared" si="2"/>
        <v>20</v>
      </c>
    </row>
    <row r="49" spans="1:19">
      <c r="A49" s="20">
        <v>34</v>
      </c>
      <c r="B49" s="97" t="s">
        <v>85</v>
      </c>
      <c r="C49" s="98"/>
      <c r="D49" s="99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21"/>
      <c r="N49" s="21"/>
      <c r="O49" s="39">
        <v>5</v>
      </c>
      <c r="P49" s="39">
        <v>45</v>
      </c>
      <c r="Q49" s="40">
        <v>16</v>
      </c>
      <c r="R49" s="18" t="s">
        <v>28</v>
      </c>
      <c r="S49" s="75">
        <f t="shared" si="2"/>
        <v>66</v>
      </c>
    </row>
    <row r="50" spans="1:19">
      <c r="A50" s="26">
        <v>35</v>
      </c>
      <c r="B50" s="88" t="s">
        <v>86</v>
      </c>
      <c r="C50" s="89"/>
      <c r="D50" s="90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4</v>
      </c>
      <c r="M50" s="41">
        <v>5</v>
      </c>
      <c r="N50" s="41">
        <v>8</v>
      </c>
      <c r="O50" s="41">
        <v>5</v>
      </c>
      <c r="P50" s="41">
        <v>5</v>
      </c>
      <c r="Q50" s="44">
        <v>4.5</v>
      </c>
      <c r="R50" s="18" t="s">
        <v>34</v>
      </c>
      <c r="S50" s="75">
        <f t="shared" si="2"/>
        <v>31.5</v>
      </c>
    </row>
    <row r="51" spans="1:19">
      <c r="A51" s="70"/>
      <c r="B51" s="76" t="s">
        <v>87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0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69"/>
      <c r="R52" s="18" t="s">
        <v>32</v>
      </c>
      <c r="S52" s="75">
        <f>SUM(L52:Q52)</f>
        <v>0</v>
      </c>
    </row>
    <row r="53" spans="1:19">
      <c r="A53" s="11"/>
      <c r="B53" s="100" t="s">
        <v>88</v>
      </c>
      <c r="C53" s="101"/>
      <c r="D53" s="102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89</v>
      </c>
      <c r="B54" s="94" t="s">
        <v>90</v>
      </c>
      <c r="C54" s="95"/>
      <c r="D54" s="96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 ht="15">
      <c r="A55" s="20" t="s">
        <v>91</v>
      </c>
      <c r="B55" s="94" t="s">
        <v>92</v>
      </c>
      <c r="C55" s="95"/>
      <c r="D55" s="96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 ht="15">
      <c r="A56" s="20" t="s">
        <v>93</v>
      </c>
      <c r="B56" s="94" t="s">
        <v>94</v>
      </c>
      <c r="C56" s="95"/>
      <c r="D56" s="96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 ht="15">
      <c r="A57" s="20" t="s">
        <v>95</v>
      </c>
      <c r="B57" s="94" t="s">
        <v>96</v>
      </c>
      <c r="C57" s="95"/>
      <c r="D57" s="96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97</v>
      </c>
      <c r="B58" s="94" t="s">
        <v>98</v>
      </c>
      <c r="C58" s="95"/>
      <c r="D58" s="96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99</v>
      </c>
      <c r="B59" s="94" t="s">
        <v>100</v>
      </c>
      <c r="C59" s="95"/>
      <c r="D59" s="96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101</v>
      </c>
      <c r="B60" s="88" t="s">
        <v>102</v>
      </c>
      <c r="C60" s="89"/>
      <c r="D60" s="90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00" t="s">
        <v>103</v>
      </c>
      <c r="C61" s="101"/>
      <c r="D61" s="102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104</v>
      </c>
      <c r="B62" s="94" t="s">
        <v>105</v>
      </c>
      <c r="C62" s="95"/>
      <c r="D62" s="96"/>
      <c r="E62" s="12"/>
      <c r="F62" s="12">
        <v>0</v>
      </c>
      <c r="G62" s="21" t="s">
        <v>53</v>
      </c>
      <c r="H62" s="21"/>
      <c r="I62" s="47" t="s">
        <v>106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107</v>
      </c>
      <c r="B63" s="94" t="s">
        <v>108</v>
      </c>
      <c r="C63" s="95"/>
      <c r="D63" s="96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109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110</v>
      </c>
      <c r="B64" s="94" t="s">
        <v>111</v>
      </c>
      <c r="C64" s="95"/>
      <c r="D64" s="96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109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112</v>
      </c>
      <c r="B65" s="94" t="s">
        <v>113</v>
      </c>
      <c r="C65" s="95"/>
      <c r="D65" s="96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114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115</v>
      </c>
      <c r="B66" s="94" t="s">
        <v>116</v>
      </c>
      <c r="C66" s="95"/>
      <c r="D66" s="96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114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117</v>
      </c>
      <c r="B67" s="94" t="s">
        <v>118</v>
      </c>
      <c r="C67" s="95"/>
      <c r="D67" s="96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114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119</v>
      </c>
      <c r="B68" s="94" t="s">
        <v>120</v>
      </c>
      <c r="C68" s="95"/>
      <c r="D68" s="96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114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121</v>
      </c>
      <c r="B69" s="88" t="s">
        <v>122</v>
      </c>
      <c r="C69" s="89"/>
      <c r="D69" s="90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123</v>
      </c>
      <c r="R69" s="52" t="s">
        <v>37</v>
      </c>
      <c r="S69" s="34">
        <v>0</v>
      </c>
    </row>
    <row r="70" spans="1:19">
      <c r="A70" s="26"/>
      <c r="B70" s="27" t="s">
        <v>124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91" t="s">
        <v>125</v>
      </c>
      <c r="C71" s="92"/>
      <c r="D71" s="93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133</v>
      </c>
      <c r="M71" s="55">
        <f t="shared" si="3"/>
        <v>132</v>
      </c>
      <c r="N71" s="55">
        <f t="shared" si="3"/>
        <v>156</v>
      </c>
      <c r="O71" s="55">
        <f t="shared" si="3"/>
        <v>206.5</v>
      </c>
      <c r="P71" s="55">
        <f t="shared" si="3"/>
        <v>144.5</v>
      </c>
      <c r="Q71" s="56">
        <f t="shared" si="3"/>
        <v>96</v>
      </c>
      <c r="R71" s="56">
        <v>0</v>
      </c>
      <c r="S71" s="57">
        <f>SUM(H71:Q71)</f>
        <v>960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A1:S1"/>
    <mergeCell ref="A2:B2"/>
    <mergeCell ref="D2:S2"/>
    <mergeCell ref="A3:B3"/>
    <mergeCell ref="D3:F3"/>
    <mergeCell ref="H3:K3"/>
    <mergeCell ref="L3:P3"/>
    <mergeCell ref="Q3:S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1:D71"/>
    <mergeCell ref="B63:D63"/>
    <mergeCell ref="B64:D64"/>
    <mergeCell ref="B65:D65"/>
    <mergeCell ref="B66:D66"/>
    <mergeCell ref="B67:D67"/>
    <mergeCell ref="B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opLeftCell="E3" workbookViewId="0">
      <selection activeCell="S9" sqref="S9"/>
    </sheetView>
  </sheetViews>
  <sheetFormatPr defaultRowHeight="15" customHeight="1"/>
  <cols>
    <col min="8" max="10" width="9.85546875" bestFit="1" customWidth="1"/>
    <col min="22" max="26" width="9.85546875" bestFit="1" customWidth="1"/>
    <col min="27" max="27" width="10.85546875" bestFit="1" customWidth="1"/>
  </cols>
  <sheetData>
    <row r="1" spans="1:30" ht="15" customHeight="1">
      <c r="A1" s="145" t="s">
        <v>11</v>
      </c>
      <c r="B1" s="146"/>
      <c r="C1" s="62"/>
      <c r="D1" s="147" t="s">
        <v>12</v>
      </c>
      <c r="E1" s="148"/>
      <c r="F1" s="148"/>
      <c r="G1" s="149"/>
      <c r="H1" s="150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2"/>
    </row>
    <row r="2" spans="1:30" ht="15" customHeight="1">
      <c r="A2" s="153" t="s">
        <v>126</v>
      </c>
      <c r="B2" s="154"/>
      <c r="C2" s="154"/>
      <c r="D2" s="154"/>
      <c r="E2" s="154"/>
      <c r="F2" s="155"/>
      <c r="G2" s="156" t="s">
        <v>127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7"/>
    </row>
    <row r="3" spans="1:30">
      <c r="A3" s="26"/>
      <c r="B3" s="91" t="s">
        <v>128</v>
      </c>
      <c r="C3" s="92"/>
      <c r="D3" s="92"/>
      <c r="E3" s="92"/>
      <c r="F3" s="93"/>
      <c r="G3" s="86" t="s">
        <v>129</v>
      </c>
      <c r="H3" s="87" t="s">
        <v>130</v>
      </c>
      <c r="I3" s="87" t="s">
        <v>131</v>
      </c>
      <c r="J3" s="87" t="s">
        <v>132</v>
      </c>
      <c r="K3" s="87" t="s">
        <v>133</v>
      </c>
      <c r="L3" s="87" t="s">
        <v>134</v>
      </c>
      <c r="M3" s="87" t="s">
        <v>135</v>
      </c>
      <c r="N3" s="87" t="s">
        <v>136</v>
      </c>
      <c r="O3" s="87" t="s">
        <v>137</v>
      </c>
      <c r="P3" s="87" t="s">
        <v>138</v>
      </c>
      <c r="Q3" s="87" t="s">
        <v>139</v>
      </c>
      <c r="R3" s="87" t="s">
        <v>140</v>
      </c>
      <c r="S3" s="87" t="s">
        <v>141</v>
      </c>
      <c r="T3" s="87" t="s">
        <v>142</v>
      </c>
      <c r="U3" s="87" t="s">
        <v>143</v>
      </c>
      <c r="V3" s="87" t="s">
        <v>144</v>
      </c>
      <c r="W3" s="87" t="s">
        <v>145</v>
      </c>
      <c r="X3" s="87" t="s">
        <v>146</v>
      </c>
      <c r="Y3" s="87" t="s">
        <v>147</v>
      </c>
      <c r="Z3" s="87" t="s">
        <v>148</v>
      </c>
      <c r="AA3" s="87" t="s">
        <v>149</v>
      </c>
      <c r="AB3" s="81" t="e">
        <v>#REF!</v>
      </c>
      <c r="AC3" s="54" t="e">
        <v>#REF!</v>
      </c>
      <c r="AD3" s="34" t="s">
        <v>150</v>
      </c>
    </row>
    <row r="4" spans="1:30">
      <c r="A4" s="20"/>
      <c r="B4" s="94" t="s">
        <v>10</v>
      </c>
      <c r="C4" s="95"/>
      <c r="D4" s="95"/>
      <c r="E4" s="95"/>
      <c r="F4" s="96"/>
      <c r="G4" s="82"/>
      <c r="H4" s="21"/>
      <c r="I4" s="21"/>
      <c r="J4" s="21"/>
      <c r="K4" s="21">
        <v>12.5</v>
      </c>
      <c r="L4" s="21">
        <v>6</v>
      </c>
      <c r="M4" s="21"/>
      <c r="N4" s="21"/>
      <c r="O4" s="21">
        <v>26</v>
      </c>
      <c r="P4" s="21">
        <v>21</v>
      </c>
      <c r="Q4" s="21">
        <v>27</v>
      </c>
      <c r="R4" s="21">
        <f xml:space="preserve"> 6 + 5 + 5 + 2 + 6</f>
        <v>24</v>
      </c>
      <c r="S4" s="21">
        <f xml:space="preserve"> 3 + 6 + 8 + 4 + 8 + 0 + 4</f>
        <v>33</v>
      </c>
      <c r="T4" s="21"/>
      <c r="U4" s="21"/>
      <c r="V4" s="21"/>
      <c r="W4" s="21"/>
      <c r="X4" s="21"/>
      <c r="Y4" s="21"/>
      <c r="Z4" s="21"/>
      <c r="AA4" s="21"/>
      <c r="AB4" s="82"/>
      <c r="AC4" s="12"/>
      <c r="AD4" s="63">
        <f>SUM(G4:AC4)</f>
        <v>149.5</v>
      </c>
    </row>
    <row r="5" spans="1:30">
      <c r="A5" s="20"/>
      <c r="B5" s="94" t="s">
        <v>151</v>
      </c>
      <c r="C5" s="95"/>
      <c r="D5" s="95"/>
      <c r="E5" s="95"/>
      <c r="F5" s="96"/>
      <c r="G5" s="82"/>
      <c r="H5" s="21"/>
      <c r="I5" s="21"/>
      <c r="J5" s="21"/>
      <c r="K5" s="21">
        <v>9</v>
      </c>
      <c r="L5" s="21">
        <v>5</v>
      </c>
      <c r="M5" s="21"/>
      <c r="N5" s="21"/>
      <c r="O5" s="21">
        <v>20</v>
      </c>
      <c r="P5" s="21">
        <v>20</v>
      </c>
      <c r="Q5" s="21">
        <v>25</v>
      </c>
      <c r="R5" s="21">
        <f xml:space="preserve"> 6 + 3 + 11 + 11 + 7 + 7</f>
        <v>45</v>
      </c>
      <c r="S5" s="21">
        <f>0 + 6 + 2 + 7 + 4</f>
        <v>19</v>
      </c>
      <c r="T5" s="21"/>
      <c r="U5" s="21"/>
      <c r="V5" s="21"/>
      <c r="W5" s="21"/>
      <c r="X5" s="21"/>
      <c r="Y5" s="21"/>
      <c r="Z5" s="21"/>
      <c r="AA5" s="21"/>
      <c r="AB5" s="82"/>
      <c r="AC5" s="12"/>
      <c r="AD5" s="63">
        <f>SUM(G5:AC5)</f>
        <v>143</v>
      </c>
    </row>
    <row r="6" spans="1:30">
      <c r="A6" s="20"/>
      <c r="B6" s="94" t="s">
        <v>152</v>
      </c>
      <c r="C6" s="95"/>
      <c r="D6" s="95"/>
      <c r="E6" s="95"/>
      <c r="F6" s="96"/>
      <c r="G6" s="82"/>
      <c r="H6" s="21"/>
      <c r="I6" s="21"/>
      <c r="J6" s="21"/>
      <c r="K6" s="21">
        <v>13</v>
      </c>
      <c r="L6" s="21">
        <v>6</v>
      </c>
      <c r="M6" s="21"/>
      <c r="N6" s="21"/>
      <c r="O6" s="21">
        <v>24</v>
      </c>
      <c r="P6" s="21">
        <v>26</v>
      </c>
      <c r="Q6" s="21">
        <v>26</v>
      </c>
      <c r="R6" s="21">
        <f xml:space="preserve"> 6 + 5 +6 +2 + 8</f>
        <v>27</v>
      </c>
      <c r="S6" s="21">
        <f>0 + 5.5 + 9 +4 + 4 + 0 + 2</f>
        <v>24.5</v>
      </c>
      <c r="T6" s="21"/>
      <c r="U6" s="21"/>
      <c r="V6" s="21"/>
      <c r="W6" s="21"/>
      <c r="X6" s="21"/>
      <c r="Y6" s="21"/>
      <c r="Z6" s="21"/>
      <c r="AA6" s="21"/>
      <c r="AB6" s="82"/>
      <c r="AC6" s="12"/>
      <c r="AD6" s="63">
        <f>SUM(G6:AC6)</f>
        <v>146.5</v>
      </c>
    </row>
    <row r="7" spans="1:30">
      <c r="A7" s="20"/>
      <c r="B7" s="94" t="s">
        <v>153</v>
      </c>
      <c r="C7" s="95"/>
      <c r="D7" s="95"/>
      <c r="E7" s="95"/>
      <c r="F7" s="96"/>
      <c r="G7" s="82"/>
      <c r="H7" s="21"/>
      <c r="I7" s="21"/>
      <c r="J7" s="21"/>
      <c r="K7" s="21">
        <v>12.5</v>
      </c>
      <c r="L7" s="21">
        <v>2</v>
      </c>
      <c r="M7" s="21"/>
      <c r="N7" s="21"/>
      <c r="O7" s="21">
        <v>23</v>
      </c>
      <c r="P7" s="21">
        <v>17</v>
      </c>
      <c r="Q7" s="21">
        <v>25</v>
      </c>
      <c r="R7" s="21">
        <f xml:space="preserve"> 8 + 6 + 8 + 3 + 8</f>
        <v>33</v>
      </c>
      <c r="S7" s="21">
        <f>4 + 6 + 7 + 6 + 4</f>
        <v>27</v>
      </c>
      <c r="T7" s="21"/>
      <c r="U7" s="21"/>
      <c r="V7" s="21"/>
      <c r="W7" s="21"/>
      <c r="X7" s="21"/>
      <c r="Y7" s="21"/>
      <c r="Z7" s="21"/>
      <c r="AA7" s="21"/>
      <c r="AB7" s="82"/>
      <c r="AC7" s="12"/>
      <c r="AD7" s="63">
        <f>SUM(G7:AC7)</f>
        <v>139.5</v>
      </c>
    </row>
    <row r="8" spans="1:30">
      <c r="A8" s="20"/>
      <c r="B8" s="94" t="s">
        <v>154</v>
      </c>
      <c r="C8" s="95"/>
      <c r="D8" s="95"/>
      <c r="E8" s="95"/>
      <c r="F8" s="96"/>
      <c r="G8" s="82"/>
      <c r="H8" s="21"/>
      <c r="I8" s="21"/>
      <c r="J8" s="21"/>
      <c r="K8" s="21">
        <v>13</v>
      </c>
      <c r="L8" s="21">
        <v>3</v>
      </c>
      <c r="M8" s="21"/>
      <c r="N8" s="21"/>
      <c r="O8" s="21">
        <v>24</v>
      </c>
      <c r="P8" s="21">
        <v>23</v>
      </c>
      <c r="Q8" s="21">
        <v>26</v>
      </c>
      <c r="R8" s="21">
        <f xml:space="preserve"> 6 + 6.5 +8 + 3 + 6</f>
        <v>29.5</v>
      </c>
      <c r="S8" s="21">
        <f>4 + 6 + 4 +6 +4</f>
        <v>24</v>
      </c>
      <c r="T8" s="21"/>
      <c r="U8" s="21"/>
      <c r="V8" s="21"/>
      <c r="W8" s="21"/>
      <c r="X8" s="21"/>
      <c r="Y8" s="21"/>
      <c r="Z8" s="21"/>
      <c r="AA8" s="21"/>
      <c r="AB8" s="82"/>
      <c r="AC8" s="12"/>
      <c r="AD8" s="63">
        <f>SUM(G8:AC8)</f>
        <v>142.5</v>
      </c>
    </row>
    <row r="9" spans="1:30">
      <c r="A9" s="20"/>
      <c r="B9" s="94" t="s">
        <v>155</v>
      </c>
      <c r="C9" s="95"/>
      <c r="D9" s="95"/>
      <c r="E9" s="95"/>
      <c r="F9" s="96"/>
      <c r="G9" s="84"/>
      <c r="H9" s="85"/>
      <c r="I9" s="85"/>
      <c r="J9" s="85"/>
      <c r="K9" s="85">
        <v>4</v>
      </c>
      <c r="L9" s="85">
        <v>6</v>
      </c>
      <c r="M9" s="85"/>
      <c r="N9" s="85"/>
      <c r="O9" s="85">
        <v>16</v>
      </c>
      <c r="P9" s="85">
        <v>25</v>
      </c>
      <c r="Q9" s="85">
        <v>27</v>
      </c>
      <c r="R9" s="85">
        <f xml:space="preserve"> 9 + 4 + 8 + 9 + 10 + 8</f>
        <v>48</v>
      </c>
      <c r="S9" s="85">
        <f xml:space="preserve"> 2 + 4 + 4 + 2 + 5</f>
        <v>17</v>
      </c>
      <c r="T9" s="85"/>
      <c r="U9" s="85"/>
      <c r="V9" s="85"/>
      <c r="W9" s="85"/>
      <c r="X9" s="85"/>
      <c r="Y9" s="85"/>
      <c r="Z9" s="85"/>
      <c r="AA9" s="85"/>
      <c r="AB9" s="82"/>
      <c r="AC9" s="12"/>
      <c r="AD9" s="63">
        <f>SUM(G9:AC9)</f>
        <v>143</v>
      </c>
    </row>
    <row r="10" spans="1:30">
      <c r="A10" s="20"/>
      <c r="B10" s="94"/>
      <c r="C10" s="95"/>
      <c r="D10" s="95"/>
      <c r="E10" s="95"/>
      <c r="F10" s="96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f>SUM(G10:AC10)</f>
        <v>0</v>
      </c>
    </row>
    <row r="11" spans="1:30">
      <c r="A11" s="20"/>
      <c r="B11" s="94"/>
      <c r="C11" s="95"/>
      <c r="D11" s="95"/>
      <c r="E11" s="95"/>
      <c r="F11" s="96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>
      <c r="A12" s="20"/>
      <c r="B12" s="94"/>
      <c r="C12" s="95"/>
      <c r="D12" s="95"/>
      <c r="E12" s="95"/>
      <c r="F12" s="96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>
      <c r="A13" s="20"/>
      <c r="B13" s="94"/>
      <c r="C13" s="95"/>
      <c r="D13" s="95"/>
      <c r="E13" s="95"/>
      <c r="F13" s="96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>
      <c r="A14" s="20"/>
      <c r="B14" s="94"/>
      <c r="C14" s="95"/>
      <c r="D14" s="95"/>
      <c r="E14" s="95"/>
      <c r="F14" s="96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>
      <c r="A15" s="20"/>
      <c r="B15" s="94"/>
      <c r="C15" s="95"/>
      <c r="D15" s="95"/>
      <c r="E15" s="95"/>
      <c r="F15" s="96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>
      <c r="A16" s="20"/>
      <c r="B16" s="94"/>
      <c r="C16" s="95"/>
      <c r="D16" s="95"/>
      <c r="E16" s="95"/>
      <c r="F16" s="9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>
      <c r="A17" s="20"/>
      <c r="B17" s="94"/>
      <c r="C17" s="95"/>
      <c r="D17" s="95"/>
      <c r="E17" s="95"/>
      <c r="F17" s="96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>
      <c r="A18" s="20"/>
      <c r="B18" s="94"/>
      <c r="C18" s="95"/>
      <c r="D18" s="95"/>
      <c r="E18" s="95"/>
      <c r="F18" s="96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>
      <c r="A19" s="20"/>
      <c r="B19" s="94"/>
      <c r="C19" s="95"/>
      <c r="D19" s="95"/>
      <c r="E19" s="95"/>
      <c r="F19" s="96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>
      <c r="A20" s="20"/>
      <c r="B20" s="94"/>
      <c r="C20" s="95"/>
      <c r="D20" s="95"/>
      <c r="E20" s="95"/>
      <c r="F20" s="96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>
      <c r="A21" s="20"/>
      <c r="B21" s="94"/>
      <c r="C21" s="95"/>
      <c r="D21" s="95"/>
      <c r="E21" s="95"/>
      <c r="F21" s="9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>
      <c r="A22" s="20"/>
      <c r="B22" s="94"/>
      <c r="C22" s="95"/>
      <c r="D22" s="95"/>
      <c r="E22" s="95"/>
      <c r="F22" s="96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>
      <c r="A23" s="20"/>
      <c r="B23" s="94"/>
      <c r="C23" s="95"/>
      <c r="D23" s="95"/>
      <c r="E23" s="95"/>
      <c r="F23" s="96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>
      <c r="A24" s="20"/>
      <c r="B24" s="94"/>
      <c r="C24" s="95"/>
      <c r="D24" s="95"/>
      <c r="E24" s="95"/>
      <c r="F24" s="96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>
      <c r="A25" s="20"/>
      <c r="B25" s="94"/>
      <c r="C25" s="95"/>
      <c r="D25" s="95"/>
      <c r="E25" s="95"/>
      <c r="F25" s="96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>
      <c r="A26" s="20"/>
      <c r="B26" s="94"/>
      <c r="C26" s="95"/>
      <c r="D26" s="95"/>
      <c r="E26" s="95"/>
      <c r="F26" s="96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>
      <c r="A27" s="20"/>
      <c r="B27" s="94"/>
      <c r="C27" s="95"/>
      <c r="D27" s="95"/>
      <c r="E27" s="95"/>
      <c r="F27" s="96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>
      <c r="A28" s="20"/>
      <c r="B28" s="94"/>
      <c r="C28" s="95"/>
      <c r="D28" s="95"/>
      <c r="E28" s="95"/>
      <c r="F28" s="9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>
      <c r="A29" s="26"/>
      <c r="B29" s="88"/>
      <c r="C29" s="89"/>
      <c r="D29" s="89"/>
      <c r="E29" s="89"/>
      <c r="F29" s="9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>
      <c r="A30" s="26"/>
      <c r="B30" s="91" t="s">
        <v>125</v>
      </c>
      <c r="C30" s="92"/>
      <c r="D30" s="92"/>
      <c r="E30" s="92"/>
      <c r="F30" s="144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133</v>
      </c>
      <c r="P30" s="65">
        <f>SUM(P4:P29)</f>
        <v>132</v>
      </c>
      <c r="Q30" s="65">
        <f>SUM(Q4:Q29)</f>
        <v>156</v>
      </c>
      <c r="R30" s="65">
        <f>SUM(R4:R29)</f>
        <v>206.5</v>
      </c>
      <c r="S30" s="65">
        <f>SUM(S4:S29)</f>
        <v>144.5</v>
      </c>
      <c r="T30" s="65">
        <f>SUM(T4:T29)</f>
        <v>0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864</v>
      </c>
    </row>
    <row r="31" spans="1:30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2024-12-09T12:25:39Z</dcterms:modified>
  <cp:category/>
  <cp:contentStatus/>
</cp:coreProperties>
</file>